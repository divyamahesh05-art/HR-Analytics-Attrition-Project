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esktop\HR-Analytics-Project\data\"/>
    </mc:Choice>
  </mc:AlternateContent>
  <xr:revisionPtr revIDLastSave="0" documentId="13_ncr:1_{7C0A42A7-252A-4437-80BA-A8899BC317E1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Project Guide" sheetId="1" r:id="rId1"/>
    <sheet name="Analysis" sheetId="2" r:id="rId2"/>
    <sheet name="HR_Data" sheetId="3" r:id="rId3"/>
  </sheets>
  <definedNames>
    <definedName name="_xlnm._FilterDatabase" localSheetId="2" hidden="1">HR_Data!$A$1:$P$561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36" i="3" l="1"/>
  <c r="O136" i="3"/>
  <c r="N136" i="3"/>
  <c r="P266" i="3"/>
  <c r="O266" i="3"/>
  <c r="N266" i="3"/>
  <c r="P525" i="3"/>
  <c r="O525" i="3"/>
  <c r="N525" i="3"/>
  <c r="P291" i="3"/>
  <c r="O291" i="3"/>
  <c r="N291" i="3"/>
  <c r="P121" i="3"/>
  <c r="O121" i="3"/>
  <c r="N121" i="3"/>
  <c r="P51" i="3"/>
  <c r="O51" i="3"/>
  <c r="N51" i="3"/>
  <c r="P363" i="3"/>
  <c r="O363" i="3"/>
  <c r="N363" i="3"/>
  <c r="P87" i="3"/>
  <c r="O87" i="3"/>
  <c r="N87" i="3"/>
  <c r="P321" i="3"/>
  <c r="O321" i="3"/>
  <c r="N321" i="3"/>
  <c r="P112" i="3"/>
  <c r="O112" i="3"/>
  <c r="N112" i="3"/>
  <c r="P378" i="3"/>
  <c r="O378" i="3"/>
  <c r="N378" i="3"/>
  <c r="P462" i="3"/>
  <c r="O462" i="3"/>
  <c r="N462" i="3"/>
  <c r="P361" i="3"/>
  <c r="O361" i="3"/>
  <c r="N361" i="3"/>
  <c r="P251" i="3"/>
  <c r="O251" i="3"/>
  <c r="N251" i="3"/>
  <c r="P537" i="3"/>
  <c r="O537" i="3"/>
  <c r="N537" i="3"/>
  <c r="P331" i="3"/>
  <c r="O331" i="3"/>
  <c r="N331" i="3"/>
  <c r="P401" i="3"/>
  <c r="O401" i="3"/>
  <c r="N401" i="3"/>
  <c r="P195" i="3"/>
  <c r="O195" i="3"/>
  <c r="N195" i="3"/>
  <c r="P262" i="3"/>
  <c r="O262" i="3"/>
  <c r="N262" i="3"/>
  <c r="P298" i="3"/>
  <c r="O298" i="3"/>
  <c r="N298" i="3"/>
  <c r="P282" i="3"/>
  <c r="O282" i="3"/>
  <c r="N282" i="3"/>
  <c r="P197" i="3"/>
  <c r="O197" i="3"/>
  <c r="N197" i="3"/>
  <c r="P41" i="3"/>
  <c r="O41" i="3"/>
  <c r="N41" i="3"/>
  <c r="P296" i="3"/>
  <c r="O296" i="3"/>
  <c r="N296" i="3"/>
  <c r="P81" i="3"/>
  <c r="O81" i="3"/>
  <c r="N81" i="3"/>
  <c r="P60" i="3"/>
  <c r="O60" i="3"/>
  <c r="N60" i="3"/>
  <c r="P538" i="3"/>
  <c r="O538" i="3"/>
  <c r="N538" i="3"/>
  <c r="P235" i="3"/>
  <c r="O235" i="3"/>
  <c r="N235" i="3"/>
  <c r="P115" i="3"/>
  <c r="O115" i="3"/>
  <c r="N115" i="3"/>
  <c r="P294" i="3"/>
  <c r="O294" i="3"/>
  <c r="N294" i="3"/>
  <c r="P189" i="3"/>
  <c r="O189" i="3"/>
  <c r="N189" i="3"/>
  <c r="P375" i="3"/>
  <c r="O375" i="3"/>
  <c r="N375" i="3"/>
  <c r="P62" i="3"/>
  <c r="O62" i="3"/>
  <c r="N62" i="3"/>
  <c r="P225" i="3"/>
  <c r="O225" i="3"/>
  <c r="N225" i="3"/>
  <c r="P108" i="3"/>
  <c r="O108" i="3"/>
  <c r="N108" i="3"/>
  <c r="P376" i="3"/>
  <c r="O376" i="3"/>
  <c r="N376" i="3"/>
  <c r="P101" i="3"/>
  <c r="O101" i="3"/>
  <c r="N101" i="3"/>
  <c r="P554" i="3"/>
  <c r="O554" i="3"/>
  <c r="N554" i="3"/>
  <c r="P203" i="3"/>
  <c r="O203" i="3"/>
  <c r="N203" i="3"/>
  <c r="P40" i="3"/>
  <c r="O40" i="3"/>
  <c r="N40" i="3"/>
  <c r="P503" i="3"/>
  <c r="O503" i="3"/>
  <c r="N503" i="3"/>
  <c r="P170" i="3"/>
  <c r="O170" i="3"/>
  <c r="N170" i="3"/>
  <c r="P154" i="3"/>
  <c r="O154" i="3"/>
  <c r="N154" i="3"/>
  <c r="P269" i="3"/>
  <c r="O269" i="3"/>
  <c r="N269" i="3"/>
  <c r="P433" i="3"/>
  <c r="O433" i="3"/>
  <c r="N433" i="3"/>
  <c r="P459" i="3"/>
  <c r="O459" i="3"/>
  <c r="N459" i="3"/>
  <c r="P253" i="3"/>
  <c r="O253" i="3"/>
  <c r="N253" i="3"/>
  <c r="P248" i="3"/>
  <c r="O248" i="3"/>
  <c r="N248" i="3"/>
  <c r="P204" i="3"/>
  <c r="O204" i="3"/>
  <c r="N204" i="3"/>
  <c r="P38" i="3"/>
  <c r="O38" i="3"/>
  <c r="N38" i="3"/>
  <c r="P299" i="3"/>
  <c r="O299" i="3"/>
  <c r="N299" i="3"/>
  <c r="P286" i="3"/>
  <c r="O286" i="3"/>
  <c r="N286" i="3"/>
  <c r="P314" i="3"/>
  <c r="O314" i="3"/>
  <c r="N314" i="3"/>
  <c r="P103" i="3"/>
  <c r="O103" i="3"/>
  <c r="N103" i="3"/>
  <c r="P64" i="3"/>
  <c r="O64" i="3"/>
  <c r="N64" i="3"/>
  <c r="P219" i="3"/>
  <c r="O219" i="3"/>
  <c r="N219" i="3"/>
  <c r="P117" i="3"/>
  <c r="O117" i="3"/>
  <c r="N117" i="3"/>
  <c r="P415" i="3"/>
  <c r="O415" i="3"/>
  <c r="N415" i="3"/>
  <c r="P135" i="3"/>
  <c r="O135" i="3"/>
  <c r="N135" i="3"/>
  <c r="P290" i="3"/>
  <c r="O290" i="3"/>
  <c r="N290" i="3"/>
  <c r="P194" i="3"/>
  <c r="O194" i="3"/>
  <c r="N194" i="3"/>
  <c r="P388" i="3"/>
  <c r="O388" i="3"/>
  <c r="N388" i="3"/>
  <c r="P465" i="3"/>
  <c r="O465" i="3"/>
  <c r="N465" i="3"/>
  <c r="P356" i="3"/>
  <c r="O356" i="3"/>
  <c r="N356" i="3"/>
  <c r="P307" i="3"/>
  <c r="O307" i="3"/>
  <c r="N307" i="3"/>
  <c r="P73" i="3"/>
  <c r="O73" i="3"/>
  <c r="N73" i="3"/>
  <c r="P85" i="3"/>
  <c r="O85" i="3"/>
  <c r="N85" i="3"/>
  <c r="P172" i="3"/>
  <c r="O172" i="3"/>
  <c r="N172" i="3"/>
  <c r="P310" i="3"/>
  <c r="O310" i="3"/>
  <c r="N310" i="3"/>
  <c r="P504" i="3"/>
  <c r="O504" i="3"/>
  <c r="N504" i="3"/>
  <c r="P353" i="3"/>
  <c r="O353" i="3"/>
  <c r="N353" i="3"/>
  <c r="P292" i="3"/>
  <c r="O292" i="3"/>
  <c r="N292" i="3"/>
  <c r="P218" i="3"/>
  <c r="O218" i="3"/>
  <c r="N218" i="3"/>
  <c r="P241" i="3"/>
  <c r="O241" i="3"/>
  <c r="N241" i="3"/>
  <c r="P341" i="3"/>
  <c r="O341" i="3"/>
  <c r="N341" i="3"/>
  <c r="P130" i="3"/>
  <c r="O130" i="3"/>
  <c r="N130" i="3"/>
  <c r="P30" i="3"/>
  <c r="O30" i="3"/>
  <c r="N30" i="3"/>
  <c r="P312" i="3"/>
  <c r="O312" i="3"/>
  <c r="N312" i="3"/>
  <c r="P289" i="3"/>
  <c r="O289" i="3"/>
  <c r="N289" i="3"/>
  <c r="P236" i="3"/>
  <c r="O236" i="3"/>
  <c r="N236" i="3"/>
  <c r="P54" i="3"/>
  <c r="O54" i="3"/>
  <c r="N54" i="3"/>
  <c r="P272" i="3"/>
  <c r="O272" i="3"/>
  <c r="N272" i="3"/>
  <c r="P190" i="3"/>
  <c r="O190" i="3"/>
  <c r="N190" i="3"/>
  <c r="P43" i="3"/>
  <c r="O43" i="3"/>
  <c r="N43" i="3"/>
  <c r="P514" i="3"/>
  <c r="O514" i="3"/>
  <c r="N514" i="3"/>
  <c r="P106" i="3"/>
  <c r="O106" i="3"/>
  <c r="N106" i="3"/>
  <c r="P354" i="3"/>
  <c r="O354" i="3"/>
  <c r="N354" i="3"/>
  <c r="P256" i="3"/>
  <c r="O256" i="3"/>
  <c r="N256" i="3"/>
  <c r="P52" i="3"/>
  <c r="O52" i="3"/>
  <c r="N52" i="3"/>
  <c r="P343" i="3"/>
  <c r="O343" i="3"/>
  <c r="N343" i="3"/>
  <c r="P424" i="3"/>
  <c r="O424" i="3"/>
  <c r="N424" i="3"/>
  <c r="P226" i="3"/>
  <c r="O226" i="3"/>
  <c r="N226" i="3"/>
  <c r="P19" i="3"/>
  <c r="O19" i="3"/>
  <c r="N19" i="3"/>
  <c r="P150" i="3"/>
  <c r="O150" i="3"/>
  <c r="N150" i="3"/>
  <c r="P325" i="3"/>
  <c r="O325" i="3"/>
  <c r="N325" i="3"/>
  <c r="P287" i="3"/>
  <c r="O287" i="3"/>
  <c r="N287" i="3"/>
  <c r="P271" i="3"/>
  <c r="O271" i="3"/>
  <c r="N271" i="3"/>
  <c r="P237" i="3"/>
  <c r="O237" i="3"/>
  <c r="N237" i="3"/>
  <c r="P452" i="3"/>
  <c r="O452" i="3"/>
  <c r="N452" i="3"/>
  <c r="P3" i="3"/>
  <c r="O3" i="3"/>
  <c r="N3" i="3"/>
  <c r="P245" i="3"/>
  <c r="O245" i="3"/>
  <c r="N245" i="3"/>
  <c r="P146" i="3"/>
  <c r="O146" i="3"/>
  <c r="N146" i="3"/>
  <c r="P102" i="3"/>
  <c r="O102" i="3"/>
  <c r="N102" i="3"/>
  <c r="P31" i="3"/>
  <c r="O31" i="3"/>
  <c r="N31" i="3"/>
  <c r="P49" i="3"/>
  <c r="O49" i="3"/>
  <c r="N49" i="3"/>
  <c r="P357" i="3"/>
  <c r="O357" i="3"/>
  <c r="N357" i="3"/>
  <c r="P175" i="3"/>
  <c r="O175" i="3"/>
  <c r="N175" i="3"/>
  <c r="P338" i="3"/>
  <c r="O338" i="3"/>
  <c r="N338" i="3"/>
  <c r="P365" i="3"/>
  <c r="O365" i="3"/>
  <c r="N365" i="3"/>
  <c r="P212" i="3"/>
  <c r="O212" i="3"/>
  <c r="N212" i="3"/>
  <c r="P164" i="3"/>
  <c r="O164" i="3"/>
  <c r="N164" i="3"/>
  <c r="P528" i="3"/>
  <c r="O528" i="3"/>
  <c r="N528" i="3"/>
  <c r="P227" i="3"/>
  <c r="O227" i="3"/>
  <c r="N227" i="3"/>
  <c r="P258" i="3"/>
  <c r="O258" i="3"/>
  <c r="N258" i="3"/>
  <c r="P451" i="3"/>
  <c r="O451" i="3"/>
  <c r="N451" i="3"/>
  <c r="P76" i="3"/>
  <c r="O76" i="3"/>
  <c r="N76" i="3"/>
  <c r="P441" i="3"/>
  <c r="O441" i="3"/>
  <c r="N441" i="3"/>
  <c r="P243" i="3"/>
  <c r="O243" i="3"/>
  <c r="N243" i="3"/>
  <c r="P400" i="3"/>
  <c r="O400" i="3"/>
  <c r="N400" i="3"/>
  <c r="P464" i="3"/>
  <c r="O464" i="3"/>
  <c r="N464" i="3"/>
  <c r="P10" i="3"/>
  <c r="O10" i="3"/>
  <c r="N10" i="3"/>
  <c r="P192" i="3"/>
  <c r="O192" i="3"/>
  <c r="N192" i="3"/>
  <c r="P384" i="3"/>
  <c r="O384" i="3"/>
  <c r="N384" i="3"/>
  <c r="P523" i="3"/>
  <c r="O523" i="3"/>
  <c r="N523" i="3"/>
  <c r="P293" i="3"/>
  <c r="O293" i="3"/>
  <c r="N293" i="3"/>
  <c r="P411" i="3"/>
  <c r="O411" i="3"/>
  <c r="N411" i="3"/>
  <c r="P535" i="3"/>
  <c r="O535" i="3"/>
  <c r="N535" i="3"/>
  <c r="P507" i="3"/>
  <c r="O507" i="3"/>
  <c r="N507" i="3"/>
  <c r="P24" i="3"/>
  <c r="O24" i="3"/>
  <c r="N24" i="3"/>
  <c r="P541" i="3"/>
  <c r="O541" i="3"/>
  <c r="N541" i="3"/>
  <c r="P246" i="3"/>
  <c r="O246" i="3"/>
  <c r="N246" i="3"/>
  <c r="P32" i="3"/>
  <c r="O32" i="3"/>
  <c r="N32" i="3"/>
  <c r="P397" i="3"/>
  <c r="O397" i="3"/>
  <c r="N397" i="3"/>
  <c r="P435" i="3"/>
  <c r="O435" i="3"/>
  <c r="N435" i="3"/>
  <c r="P501" i="3"/>
  <c r="O501" i="3"/>
  <c r="N501" i="3"/>
  <c r="P332" i="3"/>
  <c r="O332" i="3"/>
  <c r="N332" i="3"/>
  <c r="P77" i="3"/>
  <c r="O77" i="3"/>
  <c r="N77" i="3"/>
  <c r="P275" i="3"/>
  <c r="O275" i="3"/>
  <c r="N275" i="3"/>
  <c r="P67" i="3"/>
  <c r="O67" i="3"/>
  <c r="N67" i="3"/>
  <c r="P454" i="3"/>
  <c r="O454" i="3"/>
  <c r="N454" i="3"/>
  <c r="P193" i="3"/>
  <c r="O193" i="3"/>
  <c r="N193" i="3"/>
  <c r="P530" i="3"/>
  <c r="O530" i="3"/>
  <c r="N530" i="3"/>
  <c r="P439" i="3"/>
  <c r="O439" i="3"/>
  <c r="N439" i="3"/>
  <c r="P223" i="3"/>
  <c r="O223" i="3"/>
  <c r="N223" i="3"/>
  <c r="P485" i="3"/>
  <c r="O485" i="3"/>
  <c r="N485" i="3"/>
  <c r="P254" i="3"/>
  <c r="O254" i="3"/>
  <c r="N254" i="3"/>
  <c r="P302" i="3"/>
  <c r="O302" i="3"/>
  <c r="N302" i="3"/>
  <c r="P280" i="3"/>
  <c r="O280" i="3"/>
  <c r="N280" i="3"/>
  <c r="P477" i="3"/>
  <c r="O477" i="3"/>
  <c r="N477" i="3"/>
  <c r="P214" i="3"/>
  <c r="O214" i="3"/>
  <c r="N214" i="3"/>
  <c r="P174" i="3"/>
  <c r="O174" i="3"/>
  <c r="N174" i="3"/>
  <c r="P182" i="3"/>
  <c r="O182" i="3"/>
  <c r="N182" i="3"/>
  <c r="P129" i="3"/>
  <c r="O129" i="3"/>
  <c r="N129" i="3"/>
  <c r="P347" i="3"/>
  <c r="O347" i="3"/>
  <c r="N347" i="3"/>
  <c r="P242" i="3"/>
  <c r="O242" i="3"/>
  <c r="N242" i="3"/>
  <c r="P36" i="3"/>
  <c r="O36" i="3"/>
  <c r="N36" i="3"/>
  <c r="P39" i="3"/>
  <c r="O39" i="3"/>
  <c r="N39" i="3"/>
  <c r="P69" i="3"/>
  <c r="O69" i="3"/>
  <c r="N69" i="3"/>
  <c r="P14" i="3"/>
  <c r="O14" i="3"/>
  <c r="N14" i="3"/>
  <c r="P283" i="3"/>
  <c r="O283" i="3"/>
  <c r="N283" i="3"/>
  <c r="P495" i="3"/>
  <c r="O495" i="3"/>
  <c r="N495" i="3"/>
  <c r="P333" i="3"/>
  <c r="O333" i="3"/>
  <c r="N333" i="3"/>
  <c r="P229" i="3"/>
  <c r="O229" i="3"/>
  <c r="N229" i="3"/>
  <c r="P232" i="3"/>
  <c r="O232" i="3"/>
  <c r="N232" i="3"/>
  <c r="P329" i="3"/>
  <c r="O329" i="3"/>
  <c r="N329" i="3"/>
  <c r="P557" i="3"/>
  <c r="O557" i="3"/>
  <c r="N557" i="3"/>
  <c r="P486" i="3"/>
  <c r="O486" i="3"/>
  <c r="N486" i="3"/>
  <c r="P11" i="3"/>
  <c r="O11" i="3"/>
  <c r="N11" i="3"/>
  <c r="P408" i="3"/>
  <c r="O408" i="3"/>
  <c r="N408" i="3"/>
  <c r="P432" i="3"/>
  <c r="O432" i="3"/>
  <c r="N432" i="3"/>
  <c r="P196" i="3"/>
  <c r="O196" i="3"/>
  <c r="N196" i="3"/>
  <c r="P306" i="3"/>
  <c r="O306" i="3"/>
  <c r="N306" i="3"/>
  <c r="P119" i="3"/>
  <c r="O119" i="3"/>
  <c r="N119" i="3"/>
  <c r="P377" i="3"/>
  <c r="O377" i="3"/>
  <c r="N377" i="3"/>
  <c r="P450" i="3"/>
  <c r="O450" i="3"/>
  <c r="N450" i="3"/>
  <c r="P476" i="3"/>
  <c r="O476" i="3"/>
  <c r="N476" i="3"/>
  <c r="P317" i="3"/>
  <c r="O317" i="3"/>
  <c r="N317" i="3"/>
  <c r="P244" i="3"/>
  <c r="O244" i="3"/>
  <c r="N244" i="3"/>
  <c r="P55" i="3"/>
  <c r="O55" i="3"/>
  <c r="N55" i="3"/>
  <c r="P12" i="3"/>
  <c r="O12" i="3"/>
  <c r="N12" i="3"/>
  <c r="P458" i="3"/>
  <c r="O458" i="3"/>
  <c r="N458" i="3"/>
  <c r="P42" i="3"/>
  <c r="O42" i="3"/>
  <c r="N42" i="3"/>
  <c r="P550" i="3"/>
  <c r="O550" i="3"/>
  <c r="N550" i="3"/>
  <c r="P422" i="3"/>
  <c r="O422" i="3"/>
  <c r="N422" i="3"/>
  <c r="P157" i="3"/>
  <c r="O157" i="3"/>
  <c r="N157" i="3"/>
  <c r="P111" i="3"/>
  <c r="O111" i="3"/>
  <c r="N111" i="3"/>
  <c r="P116" i="3"/>
  <c r="O116" i="3"/>
  <c r="N116" i="3"/>
  <c r="P13" i="3"/>
  <c r="O13" i="3"/>
  <c r="N13" i="3"/>
  <c r="P344" i="3"/>
  <c r="O344" i="3"/>
  <c r="N344" i="3"/>
  <c r="P259" i="3"/>
  <c r="O259" i="3"/>
  <c r="N259" i="3"/>
  <c r="P16" i="3"/>
  <c r="O16" i="3"/>
  <c r="N16" i="3"/>
  <c r="P179" i="3"/>
  <c r="O179" i="3"/>
  <c r="N179" i="3"/>
  <c r="P120" i="3"/>
  <c r="O120" i="3"/>
  <c r="N120" i="3"/>
  <c r="P215" i="3"/>
  <c r="O215" i="3"/>
  <c r="N215" i="3"/>
  <c r="P126" i="3"/>
  <c r="O126" i="3"/>
  <c r="N126" i="3"/>
  <c r="P228" i="3"/>
  <c r="O228" i="3"/>
  <c r="N228" i="3"/>
  <c r="P250" i="3"/>
  <c r="O250" i="3"/>
  <c r="N250" i="3"/>
  <c r="P255" i="3"/>
  <c r="O255" i="3"/>
  <c r="N255" i="3"/>
  <c r="P412" i="3"/>
  <c r="O412" i="3"/>
  <c r="N412" i="3"/>
  <c r="P490" i="3"/>
  <c r="O490" i="3"/>
  <c r="N490" i="3"/>
  <c r="P455" i="3"/>
  <c r="O455" i="3"/>
  <c r="N455" i="3"/>
  <c r="P350" i="3"/>
  <c r="O350" i="3"/>
  <c r="N350" i="3"/>
  <c r="P15" i="3"/>
  <c r="O15" i="3"/>
  <c r="N15" i="3"/>
  <c r="P79" i="3"/>
  <c r="O79" i="3"/>
  <c r="N79" i="3"/>
  <c r="P434" i="3"/>
  <c r="O434" i="3"/>
  <c r="N434" i="3"/>
  <c r="P184" i="3"/>
  <c r="O184" i="3"/>
  <c r="N184" i="3"/>
  <c r="P323" i="3"/>
  <c r="O323" i="3"/>
  <c r="N323" i="3"/>
  <c r="P20" i="3"/>
  <c r="O20" i="3"/>
  <c r="N20" i="3"/>
  <c r="P456" i="3"/>
  <c r="O456" i="3"/>
  <c r="N456" i="3"/>
  <c r="P93" i="3"/>
  <c r="O93" i="3"/>
  <c r="N93" i="3"/>
  <c r="P297" i="3"/>
  <c r="O297" i="3"/>
  <c r="N297" i="3"/>
  <c r="P45" i="3"/>
  <c r="O45" i="3"/>
  <c r="N45" i="3"/>
  <c r="P482" i="3"/>
  <c r="O482" i="3"/>
  <c r="N482" i="3"/>
  <c r="P210" i="3"/>
  <c r="O210" i="3"/>
  <c r="N210" i="3"/>
  <c r="P21" i="3"/>
  <c r="O21" i="3"/>
  <c r="N21" i="3"/>
  <c r="P159" i="3"/>
  <c r="O159" i="3"/>
  <c r="N159" i="3"/>
  <c r="P381" i="3"/>
  <c r="O381" i="3"/>
  <c r="N381" i="3"/>
  <c r="P281" i="3"/>
  <c r="O281" i="3"/>
  <c r="N281" i="3"/>
  <c r="P506" i="3"/>
  <c r="O506" i="3"/>
  <c r="N506" i="3"/>
  <c r="P382" i="3"/>
  <c r="O382" i="3"/>
  <c r="N382" i="3"/>
  <c r="P82" i="3"/>
  <c r="O82" i="3"/>
  <c r="N82" i="3"/>
  <c r="P349" i="3"/>
  <c r="O349" i="3"/>
  <c r="N349" i="3"/>
  <c r="P543" i="3"/>
  <c r="O543" i="3"/>
  <c r="N543" i="3"/>
  <c r="P336" i="3"/>
  <c r="O336" i="3"/>
  <c r="N336" i="3"/>
  <c r="P413" i="3"/>
  <c r="O413" i="3"/>
  <c r="N413" i="3"/>
  <c r="P5" i="3"/>
  <c r="O5" i="3"/>
  <c r="N5" i="3"/>
  <c r="P368" i="3"/>
  <c r="O368" i="3"/>
  <c r="N368" i="3"/>
  <c r="P309" i="3"/>
  <c r="O309" i="3"/>
  <c r="N309" i="3"/>
  <c r="P552" i="3"/>
  <c r="O552" i="3"/>
  <c r="N552" i="3"/>
  <c r="P389" i="3"/>
  <c r="O389" i="3"/>
  <c r="N389" i="3"/>
  <c r="P249" i="3"/>
  <c r="O249" i="3"/>
  <c r="N249" i="3"/>
  <c r="P425" i="3"/>
  <c r="O425" i="3"/>
  <c r="N425" i="3"/>
  <c r="P322" i="3"/>
  <c r="O322" i="3"/>
  <c r="N322" i="3"/>
  <c r="P284" i="3"/>
  <c r="O284" i="3"/>
  <c r="N284" i="3"/>
  <c r="P171" i="3"/>
  <c r="O171" i="3"/>
  <c r="N171" i="3"/>
  <c r="P169" i="3"/>
  <c r="O169" i="3"/>
  <c r="N169" i="3"/>
  <c r="P124" i="3"/>
  <c r="O124" i="3"/>
  <c r="N124" i="3"/>
  <c r="P155" i="3"/>
  <c r="O155" i="3"/>
  <c r="N155" i="3"/>
  <c r="P547" i="3"/>
  <c r="O547" i="3"/>
  <c r="N547" i="3"/>
  <c r="P516" i="3"/>
  <c r="O516" i="3"/>
  <c r="N516" i="3"/>
  <c r="P267" i="3"/>
  <c r="O267" i="3"/>
  <c r="N267" i="3"/>
  <c r="P519" i="3"/>
  <c r="O519" i="3"/>
  <c r="N519" i="3"/>
  <c r="P165" i="3"/>
  <c r="O165" i="3"/>
  <c r="N165" i="3"/>
  <c r="P489" i="3"/>
  <c r="O489" i="3"/>
  <c r="N489" i="3"/>
  <c r="P252" i="3"/>
  <c r="O252" i="3"/>
  <c r="N252" i="3"/>
  <c r="P351" i="3"/>
  <c r="O351" i="3"/>
  <c r="N351" i="3"/>
  <c r="P359" i="3"/>
  <c r="O359" i="3"/>
  <c r="N359" i="3"/>
  <c r="P392" i="3"/>
  <c r="O392" i="3"/>
  <c r="N392" i="3"/>
  <c r="P529" i="3"/>
  <c r="O529" i="3"/>
  <c r="N529" i="3"/>
  <c r="P548" i="3"/>
  <c r="O548" i="3"/>
  <c r="N548" i="3"/>
  <c r="P183" i="3"/>
  <c r="O183" i="3"/>
  <c r="N183" i="3"/>
  <c r="P265" i="3"/>
  <c r="O265" i="3"/>
  <c r="N265" i="3"/>
  <c r="P407" i="3"/>
  <c r="O407" i="3"/>
  <c r="N407" i="3"/>
  <c r="P505" i="3"/>
  <c r="O505" i="3"/>
  <c r="N505" i="3"/>
  <c r="P420" i="3"/>
  <c r="O420" i="3"/>
  <c r="N420" i="3"/>
  <c r="P17" i="3"/>
  <c r="O17" i="3"/>
  <c r="N17" i="3"/>
  <c r="P545" i="3"/>
  <c r="O545" i="3"/>
  <c r="N545" i="3"/>
  <c r="P540" i="3"/>
  <c r="O540" i="3"/>
  <c r="N540" i="3"/>
  <c r="P391" i="3"/>
  <c r="O391" i="3"/>
  <c r="N391" i="3"/>
  <c r="P472" i="3"/>
  <c r="O472" i="3"/>
  <c r="N472" i="3"/>
  <c r="P372" i="3"/>
  <c r="O372" i="3"/>
  <c r="N372" i="3"/>
  <c r="P177" i="3"/>
  <c r="O177" i="3"/>
  <c r="N177" i="3"/>
  <c r="P492" i="3"/>
  <c r="O492" i="3"/>
  <c r="N492" i="3"/>
  <c r="P180" i="3"/>
  <c r="O180" i="3"/>
  <c r="N180" i="3"/>
  <c r="P303" i="3"/>
  <c r="O303" i="3"/>
  <c r="N303" i="3"/>
  <c r="P163" i="3"/>
  <c r="O163" i="3"/>
  <c r="N163" i="3"/>
  <c r="P141" i="3"/>
  <c r="O141" i="3"/>
  <c r="N141" i="3"/>
  <c r="P398" i="3"/>
  <c r="O398" i="3"/>
  <c r="N398" i="3"/>
  <c r="P316" i="3"/>
  <c r="O316" i="3"/>
  <c r="N316" i="3"/>
  <c r="P534" i="3"/>
  <c r="O534" i="3"/>
  <c r="N534" i="3"/>
  <c r="P27" i="3"/>
  <c r="O27" i="3"/>
  <c r="N27" i="3"/>
  <c r="P37" i="3"/>
  <c r="O37" i="3"/>
  <c r="N37" i="3"/>
  <c r="P404" i="3"/>
  <c r="O404" i="3"/>
  <c r="N404" i="3"/>
  <c r="P419" i="3"/>
  <c r="O419" i="3"/>
  <c r="N419" i="3"/>
  <c r="P436" i="3"/>
  <c r="O436" i="3"/>
  <c r="N436" i="3"/>
  <c r="P176" i="3"/>
  <c r="O176" i="3"/>
  <c r="N176" i="3"/>
  <c r="P59" i="3"/>
  <c r="O59" i="3"/>
  <c r="N59" i="3"/>
  <c r="P383" i="3"/>
  <c r="O383" i="3"/>
  <c r="N383" i="3"/>
  <c r="P544" i="3"/>
  <c r="O544" i="3"/>
  <c r="N544" i="3"/>
  <c r="P270" i="3"/>
  <c r="O270" i="3"/>
  <c r="N270" i="3"/>
  <c r="P431" i="3"/>
  <c r="O431" i="3"/>
  <c r="N431" i="3"/>
  <c r="P340" i="3"/>
  <c r="O340" i="3"/>
  <c r="N340" i="3"/>
  <c r="P209" i="3"/>
  <c r="O209" i="3"/>
  <c r="N209" i="3"/>
  <c r="P277" i="3"/>
  <c r="O277" i="3"/>
  <c r="N277" i="3"/>
  <c r="P288" i="3"/>
  <c r="O288" i="3"/>
  <c r="N288" i="3"/>
  <c r="P46" i="3"/>
  <c r="O46" i="3"/>
  <c r="N46" i="3"/>
  <c r="P494" i="3"/>
  <c r="O494" i="3"/>
  <c r="N494" i="3"/>
  <c r="P145" i="3"/>
  <c r="O145" i="3"/>
  <c r="N145" i="3"/>
  <c r="P71" i="3"/>
  <c r="O71" i="3"/>
  <c r="N71" i="3"/>
  <c r="P142" i="3"/>
  <c r="O142" i="3"/>
  <c r="N142" i="3"/>
  <c r="P510" i="3"/>
  <c r="O510" i="3"/>
  <c r="N510" i="3"/>
  <c r="P104" i="3"/>
  <c r="O104" i="3"/>
  <c r="N104" i="3"/>
  <c r="P56" i="3"/>
  <c r="O56" i="3"/>
  <c r="N56" i="3"/>
  <c r="P508" i="3"/>
  <c r="O508" i="3"/>
  <c r="N508" i="3"/>
  <c r="P198" i="3"/>
  <c r="O198" i="3"/>
  <c r="N198" i="3"/>
  <c r="P140" i="3"/>
  <c r="O140" i="3"/>
  <c r="N140" i="3"/>
  <c r="P35" i="3"/>
  <c r="O35" i="3"/>
  <c r="N35" i="3"/>
  <c r="P362" i="3"/>
  <c r="O362" i="3"/>
  <c r="N362" i="3"/>
  <c r="P279" i="3"/>
  <c r="O279" i="3"/>
  <c r="N279" i="3"/>
  <c r="P304" i="3"/>
  <c r="O304" i="3"/>
  <c r="N304" i="3"/>
  <c r="P561" i="3"/>
  <c r="O561" i="3"/>
  <c r="N561" i="3"/>
  <c r="P132" i="3"/>
  <c r="O132" i="3"/>
  <c r="N132" i="3"/>
  <c r="P191" i="3"/>
  <c r="O191" i="3"/>
  <c r="N191" i="3"/>
  <c r="P276" i="3"/>
  <c r="O276" i="3"/>
  <c r="N276" i="3"/>
  <c r="P449" i="3"/>
  <c r="O449" i="3"/>
  <c r="N449" i="3"/>
  <c r="P107" i="3"/>
  <c r="O107" i="3"/>
  <c r="N107" i="3"/>
  <c r="P423" i="3"/>
  <c r="O423" i="3"/>
  <c r="N423" i="3"/>
  <c r="P390" i="3"/>
  <c r="O390" i="3"/>
  <c r="N390" i="3"/>
  <c r="P25" i="3"/>
  <c r="O25" i="3"/>
  <c r="N25" i="3"/>
  <c r="P517" i="3"/>
  <c r="O517" i="3"/>
  <c r="N517" i="3"/>
  <c r="P385" i="3"/>
  <c r="O385" i="3"/>
  <c r="N385" i="3"/>
  <c r="P153" i="3"/>
  <c r="O153" i="3"/>
  <c r="N153" i="3"/>
  <c r="P89" i="3"/>
  <c r="O89" i="3"/>
  <c r="N89" i="3"/>
  <c r="P488" i="3"/>
  <c r="O488" i="3"/>
  <c r="N488" i="3"/>
  <c r="P442" i="3"/>
  <c r="O442" i="3"/>
  <c r="N442" i="3"/>
  <c r="P521" i="3"/>
  <c r="O521" i="3"/>
  <c r="N521" i="3"/>
  <c r="P149" i="3"/>
  <c r="O149" i="3"/>
  <c r="N149" i="3"/>
  <c r="P109" i="3"/>
  <c r="O109" i="3"/>
  <c r="N109" i="3"/>
  <c r="P88" i="3"/>
  <c r="O88" i="3"/>
  <c r="N88" i="3"/>
  <c r="P264" i="3"/>
  <c r="O264" i="3"/>
  <c r="N264" i="3"/>
  <c r="P335" i="3"/>
  <c r="O335" i="3"/>
  <c r="N335" i="3"/>
  <c r="P311" i="3"/>
  <c r="O311" i="3"/>
  <c r="N311" i="3"/>
  <c r="P416" i="3"/>
  <c r="O416" i="3"/>
  <c r="N416" i="3"/>
  <c r="P339" i="3"/>
  <c r="O339" i="3"/>
  <c r="N339" i="3"/>
  <c r="P257" i="3"/>
  <c r="O257" i="3"/>
  <c r="N257" i="3"/>
  <c r="P467" i="3"/>
  <c r="O467" i="3"/>
  <c r="N467" i="3"/>
  <c r="P83" i="3"/>
  <c r="O83" i="3"/>
  <c r="N83" i="3"/>
  <c r="P137" i="3"/>
  <c r="O137" i="3"/>
  <c r="N137" i="3"/>
  <c r="P78" i="3"/>
  <c r="O78" i="3"/>
  <c r="N78" i="3"/>
  <c r="P186" i="3"/>
  <c r="O186" i="3"/>
  <c r="N186" i="3"/>
  <c r="P394" i="3"/>
  <c r="O394" i="3"/>
  <c r="N394" i="3"/>
  <c r="P374" i="3"/>
  <c r="O374" i="3"/>
  <c r="N374" i="3"/>
  <c r="P70" i="3"/>
  <c r="O70" i="3"/>
  <c r="N70" i="3"/>
  <c r="P403" i="3"/>
  <c r="O403" i="3"/>
  <c r="N403" i="3"/>
  <c r="P546" i="3"/>
  <c r="O546" i="3"/>
  <c r="N546" i="3"/>
  <c r="P406" i="3"/>
  <c r="O406" i="3"/>
  <c r="N406" i="3"/>
  <c r="P532" i="3"/>
  <c r="O532" i="3"/>
  <c r="N532" i="3"/>
  <c r="P234" i="3"/>
  <c r="O234" i="3"/>
  <c r="N234" i="3"/>
  <c r="P80" i="3"/>
  <c r="O80" i="3"/>
  <c r="N80" i="3"/>
  <c r="P301" i="3"/>
  <c r="O301" i="3"/>
  <c r="N301" i="3"/>
  <c r="P247" i="3"/>
  <c r="O247" i="3"/>
  <c r="N247" i="3"/>
  <c r="P202" i="3"/>
  <c r="O202" i="3"/>
  <c r="N202" i="3"/>
  <c r="P220" i="3"/>
  <c r="O220" i="3"/>
  <c r="N220" i="3"/>
  <c r="P233" i="3"/>
  <c r="O233" i="3"/>
  <c r="N233" i="3"/>
  <c r="P373" i="3"/>
  <c r="O373" i="3"/>
  <c r="N373" i="3"/>
  <c r="P448" i="3"/>
  <c r="O448" i="3"/>
  <c r="N448" i="3"/>
  <c r="P473" i="3"/>
  <c r="O473" i="3"/>
  <c r="N473" i="3"/>
  <c r="P110" i="3"/>
  <c r="O110" i="3"/>
  <c r="N110" i="3"/>
  <c r="P127" i="3"/>
  <c r="O127" i="3"/>
  <c r="N127" i="3"/>
  <c r="P468" i="3"/>
  <c r="O468" i="3"/>
  <c r="N468" i="3"/>
  <c r="P44" i="3"/>
  <c r="O44" i="3"/>
  <c r="N44" i="3"/>
  <c r="P305" i="3"/>
  <c r="O305" i="3"/>
  <c r="N305" i="3"/>
  <c r="P238" i="3"/>
  <c r="O238" i="3"/>
  <c r="N238" i="3"/>
  <c r="P92" i="3"/>
  <c r="O92" i="3"/>
  <c r="N92" i="3"/>
  <c r="P131" i="3"/>
  <c r="O131" i="3"/>
  <c r="N131" i="3"/>
  <c r="P185" i="3"/>
  <c r="O185" i="3"/>
  <c r="N185" i="3"/>
  <c r="P453" i="3"/>
  <c r="O453" i="3"/>
  <c r="N453" i="3"/>
  <c r="P471" i="3"/>
  <c r="O471" i="3"/>
  <c r="N471" i="3"/>
  <c r="P518" i="3"/>
  <c r="O518" i="3"/>
  <c r="N518" i="3"/>
  <c r="P447" i="3"/>
  <c r="O447" i="3"/>
  <c r="N447" i="3"/>
  <c r="P4" i="3"/>
  <c r="O4" i="3"/>
  <c r="N4" i="3"/>
  <c r="P217" i="3"/>
  <c r="O217" i="3"/>
  <c r="N217" i="3"/>
  <c r="P370" i="3"/>
  <c r="O370" i="3"/>
  <c r="N370" i="3"/>
  <c r="P533" i="3"/>
  <c r="O533" i="3"/>
  <c r="N533" i="3"/>
  <c r="P90" i="3"/>
  <c r="O90" i="3"/>
  <c r="N90" i="3"/>
  <c r="P230" i="3"/>
  <c r="O230" i="3"/>
  <c r="N230" i="3"/>
  <c r="P91" i="3"/>
  <c r="O91" i="3"/>
  <c r="N91" i="3"/>
  <c r="P480" i="3"/>
  <c r="O480" i="3"/>
  <c r="N480" i="3"/>
  <c r="P48" i="3"/>
  <c r="O48" i="3"/>
  <c r="N48" i="3"/>
  <c r="P199" i="3"/>
  <c r="O199" i="3"/>
  <c r="N199" i="3"/>
  <c r="P421" i="3"/>
  <c r="O421" i="3"/>
  <c r="N421" i="3"/>
  <c r="P396" i="3"/>
  <c r="O396" i="3"/>
  <c r="N396" i="3"/>
  <c r="P478" i="3"/>
  <c r="O478" i="3"/>
  <c r="N478" i="3"/>
  <c r="P539" i="3"/>
  <c r="O539" i="3"/>
  <c r="N539" i="3"/>
  <c r="P484" i="3"/>
  <c r="O484" i="3"/>
  <c r="N484" i="3"/>
  <c r="P346" i="3"/>
  <c r="O346" i="3"/>
  <c r="N346" i="3"/>
  <c r="P497" i="3"/>
  <c r="O497" i="3"/>
  <c r="N497" i="3"/>
  <c r="P429" i="3"/>
  <c r="O429" i="3"/>
  <c r="N429" i="3"/>
  <c r="P327" i="3"/>
  <c r="O327" i="3"/>
  <c r="N327" i="3"/>
  <c r="P556" i="3"/>
  <c r="O556" i="3"/>
  <c r="N556" i="3"/>
  <c r="P224" i="3"/>
  <c r="O224" i="3"/>
  <c r="N224" i="3"/>
  <c r="P178" i="3"/>
  <c r="O178" i="3"/>
  <c r="N178" i="3"/>
  <c r="P94" i="3"/>
  <c r="O94" i="3"/>
  <c r="N94" i="3"/>
  <c r="P445" i="3"/>
  <c r="O445" i="3"/>
  <c r="N445" i="3"/>
  <c r="P158" i="3"/>
  <c r="O158" i="3"/>
  <c r="N158" i="3"/>
  <c r="P549" i="3"/>
  <c r="O549" i="3"/>
  <c r="N549" i="3"/>
  <c r="P430" i="3"/>
  <c r="O430" i="3"/>
  <c r="N430" i="3"/>
  <c r="P500" i="3"/>
  <c r="O500" i="3"/>
  <c r="N500" i="3"/>
  <c r="P559" i="3"/>
  <c r="O559" i="3"/>
  <c r="N559" i="3"/>
  <c r="P466" i="3"/>
  <c r="O466" i="3"/>
  <c r="N466" i="3"/>
  <c r="P113" i="3"/>
  <c r="O113" i="3"/>
  <c r="N113" i="3"/>
  <c r="P239" i="3"/>
  <c r="O239" i="3"/>
  <c r="N239" i="3"/>
  <c r="P240" i="3"/>
  <c r="O240" i="3"/>
  <c r="N240" i="3"/>
  <c r="P139" i="3"/>
  <c r="O139" i="3"/>
  <c r="N139" i="3"/>
  <c r="P326" i="3"/>
  <c r="O326" i="3"/>
  <c r="N326" i="3"/>
  <c r="P318" i="3"/>
  <c r="O318" i="3"/>
  <c r="N318" i="3"/>
  <c r="P66" i="3"/>
  <c r="O66" i="3"/>
  <c r="N66" i="3"/>
  <c r="P128" i="3"/>
  <c r="O128" i="3"/>
  <c r="N128" i="3"/>
  <c r="P216" i="3"/>
  <c r="O216" i="3"/>
  <c r="N216" i="3"/>
  <c r="P402" i="3"/>
  <c r="O402" i="3"/>
  <c r="N402" i="3"/>
  <c r="P161" i="3"/>
  <c r="O161" i="3"/>
  <c r="N161" i="3"/>
  <c r="P105" i="3"/>
  <c r="O105" i="3"/>
  <c r="N105" i="3"/>
  <c r="P34" i="3"/>
  <c r="O34" i="3"/>
  <c r="N34" i="3"/>
  <c r="P520" i="3"/>
  <c r="O520" i="3"/>
  <c r="N520" i="3"/>
  <c r="P320" i="3"/>
  <c r="O320" i="3"/>
  <c r="N320" i="3"/>
  <c r="P358" i="3"/>
  <c r="O358" i="3"/>
  <c r="N358" i="3"/>
  <c r="P387" i="3"/>
  <c r="O387" i="3"/>
  <c r="N387" i="3"/>
  <c r="P367" i="3"/>
  <c r="O367" i="3"/>
  <c r="N367" i="3"/>
  <c r="P18" i="3"/>
  <c r="O18" i="3"/>
  <c r="N18" i="3"/>
  <c r="P125" i="3"/>
  <c r="O125" i="3"/>
  <c r="N125" i="3"/>
  <c r="P364" i="3"/>
  <c r="O364" i="3"/>
  <c r="N364" i="3"/>
  <c r="P426" i="3"/>
  <c r="O426" i="3"/>
  <c r="N426" i="3"/>
  <c r="P151" i="3"/>
  <c r="O151" i="3"/>
  <c r="N151" i="3"/>
  <c r="P526" i="3"/>
  <c r="O526" i="3"/>
  <c r="N526" i="3"/>
  <c r="P168" i="3"/>
  <c r="O168" i="3"/>
  <c r="N168" i="3"/>
  <c r="P285" i="3"/>
  <c r="O285" i="3"/>
  <c r="N285" i="3"/>
  <c r="P222" i="3"/>
  <c r="O222" i="3"/>
  <c r="N222" i="3"/>
  <c r="P295" i="3"/>
  <c r="O295" i="3"/>
  <c r="N295" i="3"/>
  <c r="P348" i="3"/>
  <c r="O348" i="3"/>
  <c r="N348" i="3"/>
  <c r="P410" i="3"/>
  <c r="O410" i="3"/>
  <c r="N410" i="3"/>
  <c r="P53" i="3"/>
  <c r="O53" i="3"/>
  <c r="N53" i="3"/>
  <c r="P438" i="3"/>
  <c r="O438" i="3"/>
  <c r="N438" i="3"/>
  <c r="P166" i="3"/>
  <c r="O166" i="3"/>
  <c r="N166" i="3"/>
  <c r="P211" i="3"/>
  <c r="O211" i="3"/>
  <c r="N211" i="3"/>
  <c r="P542" i="3"/>
  <c r="O542" i="3"/>
  <c r="N542" i="3"/>
  <c r="P360" i="3"/>
  <c r="O360" i="3"/>
  <c r="N360" i="3"/>
  <c r="P342" i="3"/>
  <c r="O342" i="3"/>
  <c r="N342" i="3"/>
  <c r="P144" i="3"/>
  <c r="O144" i="3"/>
  <c r="N144" i="3"/>
  <c r="P345" i="3"/>
  <c r="O345" i="3"/>
  <c r="N345" i="3"/>
  <c r="P123" i="3"/>
  <c r="O123" i="3"/>
  <c r="N123" i="3"/>
  <c r="P47" i="3"/>
  <c r="O47" i="3"/>
  <c r="N47" i="3"/>
  <c r="P205" i="3"/>
  <c r="O205" i="3"/>
  <c r="N205" i="3"/>
  <c r="P498" i="3"/>
  <c r="O498" i="3"/>
  <c r="N498" i="3"/>
  <c r="P114" i="3"/>
  <c r="O114" i="3"/>
  <c r="N114" i="3"/>
  <c r="P457" i="3"/>
  <c r="O457" i="3"/>
  <c r="N457" i="3"/>
  <c r="P444" i="3"/>
  <c r="O444" i="3"/>
  <c r="N444" i="3"/>
  <c r="P511" i="3"/>
  <c r="O511" i="3"/>
  <c r="N511" i="3"/>
  <c r="P460" i="3"/>
  <c r="O460" i="3"/>
  <c r="N460" i="3"/>
  <c r="P58" i="3"/>
  <c r="O58" i="3"/>
  <c r="N58" i="3"/>
  <c r="P118" i="3"/>
  <c r="O118" i="3"/>
  <c r="N118" i="3"/>
  <c r="P261" i="3"/>
  <c r="O261" i="3"/>
  <c r="N261" i="3"/>
  <c r="P369" i="3"/>
  <c r="O369" i="3"/>
  <c r="N369" i="3"/>
  <c r="P84" i="3"/>
  <c r="O84" i="3"/>
  <c r="N84" i="3"/>
  <c r="P324" i="3"/>
  <c r="O324" i="3"/>
  <c r="N324" i="3"/>
  <c r="P134" i="3"/>
  <c r="O134" i="3"/>
  <c r="N134" i="3"/>
  <c r="P2" i="3"/>
  <c r="O2" i="3"/>
  <c r="N2" i="3"/>
  <c r="P231" i="3"/>
  <c r="O231" i="3"/>
  <c r="N231" i="3"/>
  <c r="P405" i="3"/>
  <c r="O405" i="3"/>
  <c r="N405" i="3"/>
  <c r="P461" i="3"/>
  <c r="O461" i="3"/>
  <c r="N461" i="3"/>
  <c r="P152" i="3"/>
  <c r="O152" i="3"/>
  <c r="N152" i="3"/>
  <c r="P167" i="3"/>
  <c r="O167" i="3"/>
  <c r="N167" i="3"/>
  <c r="P443" i="3"/>
  <c r="O443" i="3"/>
  <c r="N443" i="3"/>
  <c r="P162" i="3"/>
  <c r="O162" i="3"/>
  <c r="N162" i="3"/>
  <c r="P143" i="3"/>
  <c r="O143" i="3"/>
  <c r="N143" i="3"/>
  <c r="P263" i="3"/>
  <c r="O263" i="3"/>
  <c r="N263" i="3"/>
  <c r="P65" i="3"/>
  <c r="O65" i="3"/>
  <c r="N65" i="3"/>
  <c r="P6" i="3"/>
  <c r="O6" i="3"/>
  <c r="N6" i="3"/>
  <c r="P414" i="3"/>
  <c r="O414" i="3"/>
  <c r="N414" i="3"/>
  <c r="P207" i="3"/>
  <c r="O207" i="3"/>
  <c r="N207" i="3"/>
  <c r="P200" i="3"/>
  <c r="O200" i="3"/>
  <c r="N200" i="3"/>
  <c r="P427" i="3"/>
  <c r="O427" i="3"/>
  <c r="N427" i="3"/>
  <c r="P148" i="3"/>
  <c r="O148" i="3"/>
  <c r="N148" i="3"/>
  <c r="P315" i="3"/>
  <c r="O315" i="3"/>
  <c r="N315" i="3"/>
  <c r="P555" i="3"/>
  <c r="O555" i="3"/>
  <c r="N555" i="3"/>
  <c r="P273" i="3"/>
  <c r="O273" i="3"/>
  <c r="N273" i="3"/>
  <c r="P334" i="3"/>
  <c r="O334" i="3"/>
  <c r="N334" i="3"/>
  <c r="P558" i="3"/>
  <c r="O558" i="3"/>
  <c r="N558" i="3"/>
  <c r="P352" i="3"/>
  <c r="O352" i="3"/>
  <c r="N352" i="3"/>
  <c r="P479" i="3"/>
  <c r="O479" i="3"/>
  <c r="N479" i="3"/>
  <c r="P61" i="3"/>
  <c r="O61" i="3"/>
  <c r="N61" i="3"/>
  <c r="P23" i="3"/>
  <c r="O23" i="3"/>
  <c r="N23" i="3"/>
  <c r="P72" i="3"/>
  <c r="O72" i="3"/>
  <c r="N72" i="3"/>
  <c r="P522" i="3"/>
  <c r="O522" i="3"/>
  <c r="N522" i="3"/>
  <c r="P463" i="3"/>
  <c r="O463" i="3"/>
  <c r="N463" i="3"/>
  <c r="P206" i="3"/>
  <c r="O206" i="3"/>
  <c r="N206" i="3"/>
  <c r="P469" i="3"/>
  <c r="O469" i="3"/>
  <c r="N469" i="3"/>
  <c r="P418" i="3"/>
  <c r="O418" i="3"/>
  <c r="N418" i="3"/>
  <c r="P156" i="3"/>
  <c r="O156" i="3"/>
  <c r="N156" i="3"/>
  <c r="P98" i="3"/>
  <c r="O98" i="3"/>
  <c r="N98" i="3"/>
  <c r="P440" i="3"/>
  <c r="O440" i="3"/>
  <c r="N440" i="3"/>
  <c r="P33" i="3"/>
  <c r="O33" i="3"/>
  <c r="N33" i="3"/>
  <c r="P97" i="3"/>
  <c r="O97" i="3"/>
  <c r="N97" i="3"/>
  <c r="P496" i="3"/>
  <c r="O496" i="3"/>
  <c r="N496" i="3"/>
  <c r="P553" i="3"/>
  <c r="O553" i="3"/>
  <c r="N553" i="3"/>
  <c r="P188" i="3"/>
  <c r="O188" i="3"/>
  <c r="N188" i="3"/>
  <c r="P133" i="3"/>
  <c r="O133" i="3"/>
  <c r="N133" i="3"/>
  <c r="P513" i="3"/>
  <c r="O513" i="3"/>
  <c r="N513" i="3"/>
  <c r="P68" i="3"/>
  <c r="O68" i="3"/>
  <c r="N68" i="3"/>
  <c r="P96" i="3"/>
  <c r="O96" i="3"/>
  <c r="N96" i="3"/>
  <c r="P9" i="3"/>
  <c r="O9" i="3"/>
  <c r="N9" i="3"/>
  <c r="P95" i="3"/>
  <c r="O95" i="3"/>
  <c r="N95" i="3"/>
  <c r="P160" i="3"/>
  <c r="O160" i="3"/>
  <c r="N160" i="3"/>
  <c r="P437" i="3"/>
  <c r="O437" i="3"/>
  <c r="N437" i="3"/>
  <c r="P531" i="3"/>
  <c r="O531" i="3"/>
  <c r="N531" i="3"/>
  <c r="P99" i="3"/>
  <c r="O99" i="3"/>
  <c r="N99" i="3"/>
  <c r="P313" i="3"/>
  <c r="O313" i="3"/>
  <c r="N313" i="3"/>
  <c r="P330" i="3"/>
  <c r="O330" i="3"/>
  <c r="N330" i="3"/>
  <c r="P74" i="3"/>
  <c r="O74" i="3"/>
  <c r="N74" i="3"/>
  <c r="P366" i="3"/>
  <c r="O366" i="3"/>
  <c r="N366" i="3"/>
  <c r="P395" i="3"/>
  <c r="O395" i="3"/>
  <c r="N395" i="3"/>
  <c r="P50" i="3"/>
  <c r="O50" i="3"/>
  <c r="N50" i="3"/>
  <c r="P399" i="3"/>
  <c r="O399" i="3"/>
  <c r="N399" i="3"/>
  <c r="P551" i="3"/>
  <c r="O551" i="3"/>
  <c r="N551" i="3"/>
  <c r="P319" i="3"/>
  <c r="O319" i="3"/>
  <c r="N319" i="3"/>
  <c r="P470" i="3"/>
  <c r="O470" i="3"/>
  <c r="N470" i="3"/>
  <c r="P527" i="3"/>
  <c r="O527" i="3"/>
  <c r="N527" i="3"/>
  <c r="P536" i="3"/>
  <c r="O536" i="3"/>
  <c r="N536" i="3"/>
  <c r="P86" i="3"/>
  <c r="O86" i="3"/>
  <c r="N86" i="3"/>
  <c r="P512" i="3"/>
  <c r="O512" i="3"/>
  <c r="N512" i="3"/>
  <c r="P213" i="3"/>
  <c r="O213" i="3"/>
  <c r="N213" i="3"/>
  <c r="P300" i="3"/>
  <c r="O300" i="3"/>
  <c r="N300" i="3"/>
  <c r="P221" i="3"/>
  <c r="O221" i="3"/>
  <c r="N221" i="3"/>
  <c r="P8" i="3"/>
  <c r="O8" i="3"/>
  <c r="N8" i="3"/>
  <c r="P380" i="3"/>
  <c r="O380" i="3"/>
  <c r="N380" i="3"/>
  <c r="P560" i="3"/>
  <c r="O560" i="3"/>
  <c r="N560" i="3"/>
  <c r="P278" i="3"/>
  <c r="O278" i="3"/>
  <c r="N278" i="3"/>
  <c r="P7" i="3"/>
  <c r="O7" i="3"/>
  <c r="N7" i="3"/>
  <c r="P122" i="3"/>
  <c r="O122" i="3"/>
  <c r="N122" i="3"/>
  <c r="P26" i="3"/>
  <c r="O26" i="3"/>
  <c r="N26" i="3"/>
  <c r="P268" i="3"/>
  <c r="O268" i="3"/>
  <c r="N268" i="3"/>
  <c r="P100" i="3"/>
  <c r="O100" i="3"/>
  <c r="N100" i="3"/>
  <c r="P337" i="3"/>
  <c r="O337" i="3"/>
  <c r="N337" i="3"/>
  <c r="P379" i="3"/>
  <c r="O379" i="3"/>
  <c r="N379" i="3"/>
  <c r="P274" i="3"/>
  <c r="O274" i="3"/>
  <c r="N274" i="3"/>
  <c r="P475" i="3"/>
  <c r="O475" i="3"/>
  <c r="N475" i="3"/>
  <c r="P75" i="3"/>
  <c r="O75" i="3"/>
  <c r="N75" i="3"/>
  <c r="P509" i="3"/>
  <c r="O509" i="3"/>
  <c r="N509" i="3"/>
  <c r="P308" i="3"/>
  <c r="O308" i="3"/>
  <c r="N308" i="3"/>
  <c r="P474" i="3"/>
  <c r="O474" i="3"/>
  <c r="N474" i="3"/>
  <c r="P371" i="3"/>
  <c r="O371" i="3"/>
  <c r="N371" i="3"/>
  <c r="P260" i="3"/>
  <c r="O260" i="3"/>
  <c r="N260" i="3"/>
  <c r="P22" i="3"/>
  <c r="O22" i="3"/>
  <c r="N22" i="3"/>
  <c r="P147" i="3"/>
  <c r="O147" i="3"/>
  <c r="N147" i="3"/>
  <c r="P483" i="3"/>
  <c r="O483" i="3"/>
  <c r="N483" i="3"/>
  <c r="P57" i="3"/>
  <c r="O57" i="3"/>
  <c r="N57" i="3"/>
  <c r="P181" i="3"/>
  <c r="O181" i="3"/>
  <c r="N181" i="3"/>
  <c r="P208" i="3"/>
  <c r="O208" i="3"/>
  <c r="N208" i="3"/>
  <c r="P393" i="3"/>
  <c r="O393" i="3"/>
  <c r="N393" i="3"/>
  <c r="P481" i="3"/>
  <c r="O481" i="3"/>
  <c r="N481" i="3"/>
  <c r="P446" i="3"/>
  <c r="O446" i="3"/>
  <c r="N446" i="3"/>
  <c r="P487" i="3"/>
  <c r="O487" i="3"/>
  <c r="N487" i="3"/>
  <c r="P355" i="3"/>
  <c r="O355" i="3"/>
  <c r="N355" i="3"/>
  <c r="P515" i="3"/>
  <c r="O515" i="3"/>
  <c r="N515" i="3"/>
  <c r="P328" i="3"/>
  <c r="O328" i="3"/>
  <c r="N328" i="3"/>
  <c r="P524" i="3"/>
  <c r="O524" i="3"/>
  <c r="N524" i="3"/>
  <c r="P28" i="3"/>
  <c r="O28" i="3"/>
  <c r="N28" i="3"/>
  <c r="P417" i="3"/>
  <c r="O417" i="3"/>
  <c r="N417" i="3"/>
  <c r="P386" i="3"/>
  <c r="O386" i="3"/>
  <c r="N386" i="3"/>
  <c r="P428" i="3"/>
  <c r="O428" i="3"/>
  <c r="N428" i="3"/>
  <c r="P201" i="3"/>
  <c r="O201" i="3"/>
  <c r="N201" i="3"/>
  <c r="P499" i="3"/>
  <c r="O499" i="3"/>
  <c r="N499" i="3"/>
  <c r="P409" i="3"/>
  <c r="O409" i="3"/>
  <c r="N409" i="3"/>
  <c r="P493" i="3"/>
  <c r="O493" i="3"/>
  <c r="N493" i="3"/>
  <c r="P173" i="3"/>
  <c r="O173" i="3"/>
  <c r="N173" i="3"/>
  <c r="P502" i="3"/>
  <c r="O502" i="3"/>
  <c r="N502" i="3"/>
  <c r="P187" i="3"/>
  <c r="O187" i="3"/>
  <c r="N187" i="3"/>
  <c r="P29" i="3"/>
  <c r="O29" i="3"/>
  <c r="N29" i="3"/>
  <c r="P491" i="3"/>
  <c r="O491" i="3"/>
  <c r="N491" i="3"/>
  <c r="P63" i="3"/>
  <c r="O63" i="3"/>
  <c r="N63" i="3"/>
  <c r="P138" i="3"/>
  <c r="O138" i="3"/>
  <c r="N138" i="3"/>
  <c r="B74" i="2"/>
  <c r="B73" i="2"/>
  <c r="B72" i="2"/>
  <c r="B71" i="2"/>
  <c r="B70" i="2"/>
  <c r="B69" i="2"/>
  <c r="B68" i="2"/>
  <c r="C57" i="2"/>
  <c r="B57" i="2"/>
  <c r="C56" i="2"/>
  <c r="B56" i="2"/>
  <c r="C55" i="2"/>
  <c r="B55" i="2"/>
  <c r="C54" i="2"/>
  <c r="B54" i="2"/>
  <c r="C53" i="2"/>
  <c r="B53" i="2"/>
  <c r="C49" i="2"/>
  <c r="B49" i="2"/>
  <c r="C48" i="2"/>
  <c r="B48" i="2"/>
  <c r="H19" i="2"/>
  <c r="G19" i="2"/>
  <c r="D19" i="2"/>
  <c r="C19" i="2"/>
  <c r="B19" i="2"/>
  <c r="I19" i="2" s="1"/>
  <c r="H18" i="2"/>
  <c r="G18" i="2"/>
  <c r="D18" i="2"/>
  <c r="C18" i="2"/>
  <c r="B18" i="2"/>
  <c r="I18" i="2" s="1"/>
  <c r="H17" i="2"/>
  <c r="G17" i="2"/>
  <c r="D17" i="2"/>
  <c r="C17" i="2"/>
  <c r="B17" i="2"/>
  <c r="I17" i="2" s="1"/>
  <c r="H16" i="2"/>
  <c r="G16" i="2"/>
  <c r="D16" i="2"/>
  <c r="C16" i="2"/>
  <c r="B16" i="2"/>
  <c r="I16" i="2" s="1"/>
  <c r="H15" i="2"/>
  <c r="G15" i="2"/>
  <c r="D15" i="2"/>
  <c r="C15" i="2"/>
  <c r="B15" i="2"/>
  <c r="I15" i="2" s="1"/>
  <c r="H14" i="2"/>
  <c r="G14" i="2"/>
  <c r="D14" i="2"/>
  <c r="C14" i="2"/>
  <c r="B14" i="2"/>
  <c r="I14" i="2" s="1"/>
  <c r="H13" i="2"/>
  <c r="G13" i="2"/>
  <c r="D13" i="2"/>
  <c r="C13" i="2"/>
  <c r="B13" i="2"/>
  <c r="B6" i="2"/>
  <c r="C74" i="2" s="1"/>
  <c r="B5" i="2"/>
  <c r="B4" i="2"/>
  <c r="D53" i="2" l="1"/>
  <c r="B9" i="2"/>
  <c r="C61" i="2"/>
  <c r="E29" i="2"/>
  <c r="E41" i="2" s="1"/>
  <c r="E25" i="2"/>
  <c r="E26" i="2"/>
  <c r="E38" i="2" s="1"/>
  <c r="F27" i="2"/>
  <c r="F39" i="2" s="1"/>
  <c r="G28" i="2"/>
  <c r="G40" i="2" s="1"/>
  <c r="C71" i="2"/>
  <c r="C20" i="2"/>
  <c r="E16" i="2"/>
  <c r="F16" i="2" s="1"/>
  <c r="D49" i="2"/>
  <c r="D54" i="2"/>
  <c r="D31" i="2"/>
  <c r="D43" i="2" s="1"/>
  <c r="E14" i="2"/>
  <c r="F14" i="2" s="1"/>
  <c r="E18" i="2"/>
  <c r="F18" i="2" s="1"/>
  <c r="C28" i="2"/>
  <c r="C40" i="2" s="1"/>
  <c r="B28" i="2"/>
  <c r="B40" i="2" s="1"/>
  <c r="D30" i="2"/>
  <c r="D42" i="2" s="1"/>
  <c r="B20" i="2"/>
  <c r="B63" i="2"/>
  <c r="D29" i="2"/>
  <c r="D41" i="2" s="1"/>
  <c r="G25" i="2"/>
  <c r="G37" i="2" s="1"/>
  <c r="B31" i="2"/>
  <c r="B43" i="2" s="1"/>
  <c r="C69" i="2"/>
  <c r="C73" i="2"/>
  <c r="E30" i="2"/>
  <c r="E42" i="2" s="1"/>
  <c r="I13" i="2"/>
  <c r="B27" i="2"/>
  <c r="B39" i="2" s="1"/>
  <c r="D55" i="2"/>
  <c r="E13" i="2"/>
  <c r="F13" i="2" s="1"/>
  <c r="E15" i="2"/>
  <c r="F15" i="2" s="1"/>
  <c r="E17" i="2"/>
  <c r="F17" i="2" s="1"/>
  <c r="E19" i="2"/>
  <c r="F19" i="2" s="1"/>
  <c r="C25" i="2"/>
  <c r="C37" i="2" s="1"/>
  <c r="B26" i="2"/>
  <c r="B38" i="2" s="1"/>
  <c r="E27" i="2"/>
  <c r="E39" i="2" s="1"/>
  <c r="F28" i="2"/>
  <c r="F40" i="2" s="1"/>
  <c r="G29" i="2"/>
  <c r="G41" i="2" s="1"/>
  <c r="E31" i="2"/>
  <c r="E43" i="2" s="1"/>
  <c r="D48" i="2"/>
  <c r="D56" i="2"/>
  <c r="D25" i="2"/>
  <c r="D37" i="2" s="1"/>
  <c r="D26" i="2"/>
  <c r="D38" i="2" s="1"/>
  <c r="F31" i="2"/>
  <c r="F43" i="2" s="1"/>
  <c r="C29" i="2"/>
  <c r="C41" i="2" s="1"/>
  <c r="D57" i="2"/>
  <c r="D27" i="2"/>
  <c r="D39" i="2" s="1"/>
  <c r="C63" i="2"/>
  <c r="G30" i="2"/>
  <c r="G42" i="2" s="1"/>
  <c r="G26" i="2"/>
  <c r="G38" i="2" s="1"/>
  <c r="E28" i="2"/>
  <c r="E40" i="2" s="1"/>
  <c r="F29" i="2"/>
  <c r="F41" i="2" s="1"/>
  <c r="F25" i="2"/>
  <c r="F37" i="2" s="1"/>
  <c r="D20" i="2"/>
  <c r="E20" i="2" s="1"/>
  <c r="F20" i="2" s="1"/>
  <c r="B62" i="2"/>
  <c r="F26" i="2"/>
  <c r="F38" i="2" s="1"/>
  <c r="C27" i="2"/>
  <c r="C39" i="2" s="1"/>
  <c r="G27" i="2"/>
  <c r="G39" i="2" s="1"/>
  <c r="D28" i="2"/>
  <c r="D40" i="2" s="1"/>
  <c r="B30" i="2"/>
  <c r="F30" i="2"/>
  <c r="F42" i="2" s="1"/>
  <c r="C31" i="2"/>
  <c r="C43" i="2" s="1"/>
  <c r="G31" i="2"/>
  <c r="G43" i="2" s="1"/>
  <c r="E37" i="2"/>
  <c r="B61" i="2"/>
  <c r="D61" i="2" s="1"/>
  <c r="C62" i="2"/>
  <c r="B7" i="2"/>
  <c r="B8" i="2" s="1"/>
  <c r="B25" i="2"/>
  <c r="C26" i="2"/>
  <c r="B29" i="2"/>
  <c r="C30" i="2"/>
  <c r="C42" i="2" s="1"/>
  <c r="C68" i="2"/>
  <c r="C70" i="2"/>
  <c r="C72" i="2"/>
  <c r="D63" i="2" l="1"/>
  <c r="G32" i="2"/>
  <c r="H27" i="2"/>
  <c r="C32" i="2"/>
  <c r="E32" i="2"/>
  <c r="D32" i="2"/>
  <c r="B37" i="2"/>
  <c r="H25" i="2"/>
  <c r="B32" i="2"/>
  <c r="B41" i="2"/>
  <c r="H29" i="2"/>
  <c r="D62" i="2"/>
  <c r="H28" i="2"/>
  <c r="H30" i="2"/>
  <c r="B42" i="2"/>
  <c r="H31" i="2"/>
  <c r="H26" i="2"/>
  <c r="C38" i="2"/>
  <c r="F32" i="2"/>
  <c r="H32" i="2" l="1"/>
</calcChain>
</file>

<file path=xl/sharedStrings.xml><?xml version="1.0" encoding="utf-8"?>
<sst xmlns="http://schemas.openxmlformats.org/spreadsheetml/2006/main" count="3630" uniqueCount="686">
  <si>
    <t>HR ANALYTICS PROJECT – Employee Attrition &amp; Retention (Excel + Power BI)</t>
  </si>
  <si>
    <t>OBJECTIVE</t>
  </si>
  <si>
    <t>Find out how many employees leave, from which departments, when, and why – then recommend actions to improve retention.</t>
  </si>
  <si>
    <t>FILES / SHEETS</t>
  </si>
  <si>
    <t>HR_Data – 560 synthetic employee records (practice data, not real people). Columns: EmployeeID, Department, JobRole, Gender, Age, HireDate, ExitDate, Status, Salary, PerformanceRating, SatisfactionScore, Overtime, ExitReason. TenureYears, ExitYear, AgeGroup are formulas.</t>
  </si>
  <si>
    <t>Analysis – Finished Excel analysis built with formulas (COUNTIFS, AVERAGEIFS) + 2 charts. Compare your own work against this.</t>
  </si>
  <si>
    <t>PART A – EXCEL TASKS (do these yourself first)</t>
  </si>
  <si>
    <t>1. Clean: check blanks, duplicates (Remove Duplicates on EmployeeID), data types for dates.</t>
  </si>
  <si>
    <t>2. Add calculated columns: Tenure, Exit Year, Age Group, Salary Band (use IF / IFS).</t>
  </si>
  <si>
    <t>3. Build a PivotTable: Department vs Status (Active/Left) → % of Row Total = attrition %.</t>
  </si>
  <si>
    <t>4. PivotTable: Exit Year × Department (leavers trend) + a PivotChart.</t>
  </si>
  <si>
    <t>5. Drivers: attrition by Overtime, Satisfaction Score, Age Group, Salary Band.</t>
  </si>
  <si>
    <t>6. Top exit reasons (Pareto chart).</t>
  </si>
  <si>
    <t>7. Add Slicers (Department, Gender) and build a 1-page dashboard sheet.</t>
  </si>
  <si>
    <t>PART B – POWER BI STEPS</t>
  </si>
  <si>
    <t>1. Get Data → Excel → select HR_Data table. Transform Data (Power Query): set HireDate/ExitDate as Date, remove blanks in key fields, rename columns.</t>
  </si>
  <si>
    <t>2. Create a Date table:  DateTable = CALENDAR(DATE(2018,1,1), DATE(2026,12,31)). Relate DateTable[Date] to HR_Data[ExitDate] (or HireDate).</t>
  </si>
  <si>
    <t>3. Create DAX measures (below).</t>
  </si>
  <si>
    <t>4. Page 1 – Overview: KPI cards (Headcount, Leavers, Attrition %, Retention %), bar chart Attrition % by Department, donut for Status.</t>
  </si>
  <si>
    <t>5. Page 2 – Trend: line chart Leavers by Exit Year, one line per Department; matrix of Department × Year.</t>
  </si>
  <si>
    <t>6. Page 3 – Drivers: Overtime, Satisfaction, Age Group, Salary, Exit Reasons; add Department slicer to all pages.</t>
  </si>
  <si>
    <t>7. Page 4 – Insights &amp; Recommendations (text box). Publish / export as PDF for your portfolio.</t>
  </si>
  <si>
    <t>DAX MEASURES</t>
  </si>
  <si>
    <t>Total Employees = COUNTROWS(HR_Data)</t>
  </si>
  <si>
    <t>Leavers = CALCULATE(COUNTROWS(HR_Data), HR_Data[Status] = "Left")</t>
  </si>
  <si>
    <t>Active Employees = CALCULATE(COUNTROWS(HR_Data), HR_Data[Status] = "Active")</t>
  </si>
  <si>
    <t>Attrition % = DIVIDE([Leavers], [Total Employees], 0)</t>
  </si>
  <si>
    <t>Retention % = 1 - [Attrition %]</t>
  </si>
  <si>
    <t>Avg Tenure (Leavers) = CALCULATE(AVERAGE(HR_Data[TenureYears]), HR_Data[Status] = "Left")</t>
  </si>
  <si>
    <t>Overtime Attrition % = CALCULATE([Attrition %], HR_Data[Overtime] = "Yes")</t>
  </si>
  <si>
    <t>Leavers YoY = [Leavers] - CALCULATE([Leavers], DATEADD(DateTable[Date], -1, YEAR))</t>
  </si>
  <si>
    <t>BUSINESS QUESTIONS TO ANSWER</t>
  </si>
  <si>
    <t>Which department has the highest attrition? Is it getting better or worse each year?</t>
  </si>
  <si>
    <t>Does overtime or low satisfaction increase attrition? By how much?</t>
  </si>
  <si>
    <t>At what tenure do employees leave most? Which age group leaves most?</t>
  </si>
  <si>
    <t>What are the top reasons for leaving, and what should HR do about each?</t>
  </si>
  <si>
    <t>NOTE</t>
  </si>
  <si>
    <t>Data is randomly generated for practice. Leavers before 2021 are not shown in the yearly tables. 2026 figures are year-to-date (as of the date in Analysis!B2), so the 2026 attrition rate is partial.</t>
  </si>
  <si>
    <t>HR Analytics – Attrition &amp; Retention Analysis</t>
  </si>
  <si>
    <t>As-of date (input)</t>
  </si>
  <si>
    <t>KPI</t>
  </si>
  <si>
    <t>Value</t>
  </si>
  <si>
    <t>Total Employees ever</t>
  </si>
  <si>
    <t>Active Headcount</t>
  </si>
  <si>
    <t>Leavers</t>
  </si>
  <si>
    <t>Overall Attrition %</t>
  </si>
  <si>
    <t>Overall Retention %</t>
  </si>
  <si>
    <t>Avg Tenure of Leavers (yrs)</t>
  </si>
  <si>
    <t>1. Department-wise Attrition &amp; Retention</t>
  </si>
  <si>
    <t>Department</t>
  </si>
  <si>
    <t>Total Employees</t>
  </si>
  <si>
    <t>Active</t>
  </si>
  <si>
    <t>Attrition %</t>
  </si>
  <si>
    <t>Retention %</t>
  </si>
  <si>
    <t>Avg Salary</t>
  </si>
  <si>
    <t>Avg Satisfaction</t>
  </si>
  <si>
    <t>Overtime %</t>
  </si>
  <si>
    <t>Sales</t>
  </si>
  <si>
    <t>Customer Support</t>
  </si>
  <si>
    <t>IT</t>
  </si>
  <si>
    <t>HR</t>
  </si>
  <si>
    <t>Finance</t>
  </si>
  <si>
    <t>Operations</t>
  </si>
  <si>
    <t>Marketing</t>
  </si>
  <si>
    <t>Total</t>
  </si>
  <si>
    <t>2. Leavers by Department &amp; Year (Exit Year Trend)</t>
  </si>
  <si>
    <t>3. Annual Attrition Rate % by Department (Leavers ÷ Headcount at 1-Jan; 2026 is year-to-date)</t>
  </si>
  <si>
    <t>4. Attrition Drivers</t>
  </si>
  <si>
    <t>Overtime</t>
  </si>
  <si>
    <t>Employees</t>
  </si>
  <si>
    <t>Yes</t>
  </si>
  <si>
    <t>No</t>
  </si>
  <si>
    <t>Satisfaction Score</t>
  </si>
  <si>
    <t>Age Group</t>
  </si>
  <si>
    <t>&lt;30</t>
  </si>
  <si>
    <t>30-39</t>
  </si>
  <si>
    <t>40+</t>
  </si>
  <si>
    <t>Exit Reason</t>
  </si>
  <si>
    <t>% of Leavers</t>
  </si>
  <si>
    <t>Better Salary Elsewhere</t>
  </si>
  <si>
    <t>Career Growth</t>
  </si>
  <si>
    <t>Work-Life Balance</t>
  </si>
  <si>
    <t>Relocation</t>
  </si>
  <si>
    <t>Manager Issues</t>
  </si>
  <si>
    <t>Higher Studies</t>
  </si>
  <si>
    <t>Personal Reasons</t>
  </si>
  <si>
    <t>EmployeeID</t>
  </si>
  <si>
    <t>JobRole</t>
  </si>
  <si>
    <t>Gender</t>
  </si>
  <si>
    <t>Age</t>
  </si>
  <si>
    <t>HireDate</t>
  </si>
  <si>
    <t>ExitDate</t>
  </si>
  <si>
    <t>Status</t>
  </si>
  <si>
    <t>Salary</t>
  </si>
  <si>
    <t>PerformanceRating</t>
  </si>
  <si>
    <t>SatisfactionScore</t>
  </si>
  <si>
    <t>ExitReason</t>
  </si>
  <si>
    <t>TenureYears</t>
  </si>
  <si>
    <t>ExitYear</t>
  </si>
  <si>
    <t>AgeGroup</t>
  </si>
  <si>
    <t>E1168</t>
  </si>
  <si>
    <t>Team Lead</t>
  </si>
  <si>
    <t>Male</t>
  </si>
  <si>
    <t>Left</t>
  </si>
  <si>
    <t>E1555</t>
  </si>
  <si>
    <t>Content Specialist</t>
  </si>
  <si>
    <t>E1240</t>
  </si>
  <si>
    <t>Data Analyst</t>
  </si>
  <si>
    <t>E1418</t>
  </si>
  <si>
    <t>Operations Associate</t>
  </si>
  <si>
    <t>Female</t>
  </si>
  <si>
    <t>E1025</t>
  </si>
  <si>
    <t>Account Manager</t>
  </si>
  <si>
    <t>E1394</t>
  </si>
  <si>
    <t>Finance Manager</t>
  </si>
  <si>
    <t>E1490</t>
  </si>
  <si>
    <t>Supervisor</t>
  </si>
  <si>
    <t>E1388</t>
  </si>
  <si>
    <t>E1153</t>
  </si>
  <si>
    <t>E1379</t>
  </si>
  <si>
    <t>E1180</t>
  </si>
  <si>
    <t>Support Analyst</t>
  </si>
  <si>
    <t>E1384</t>
  </si>
  <si>
    <t>Accountant</t>
  </si>
  <si>
    <t>E1544</t>
  </si>
  <si>
    <t>Marketing Executive</t>
  </si>
  <si>
    <t>E1469</t>
  </si>
  <si>
    <t>E1144</t>
  </si>
  <si>
    <t>Support Agent</t>
  </si>
  <si>
    <t>E1326</t>
  </si>
  <si>
    <t>HR Executive</t>
  </si>
  <si>
    <t>E1287</t>
  </si>
  <si>
    <t>E1472</t>
  </si>
  <si>
    <t>E1220</t>
  </si>
  <si>
    <t>IT Support</t>
  </si>
  <si>
    <t>E1356</t>
  </si>
  <si>
    <t>E1288</t>
  </si>
  <si>
    <t>Software Engineer</t>
  </si>
  <si>
    <t>E1094</t>
  </si>
  <si>
    <t>Sales Manager</t>
  </si>
  <si>
    <t>E1151</t>
  </si>
  <si>
    <t>E1552</t>
  </si>
  <si>
    <t>E1502</t>
  </si>
  <si>
    <t>E1128</t>
  </si>
  <si>
    <t>E1331</t>
  </si>
  <si>
    <t>HR Manager</t>
  </si>
  <si>
    <t>E1017</t>
  </si>
  <si>
    <t>Sales Executive</t>
  </si>
  <si>
    <t>E1258</t>
  </si>
  <si>
    <t>E1415</t>
  </si>
  <si>
    <t>Logistics Coordinator</t>
  </si>
  <si>
    <t>E1503</t>
  </si>
  <si>
    <t>E1473</t>
  </si>
  <si>
    <t>E1372</t>
  </si>
  <si>
    <t>E1273</t>
  </si>
  <si>
    <t>E1349</t>
  </si>
  <si>
    <t>E1217</t>
  </si>
  <si>
    <t>E1202</t>
  </si>
  <si>
    <t>E1170</t>
  </si>
  <si>
    <t>E1212</t>
  </si>
  <si>
    <t>E1439</t>
  </si>
  <si>
    <t>E1194</t>
  </si>
  <si>
    <t>E1276</t>
  </si>
  <si>
    <t>DevOps Engineer</t>
  </si>
  <si>
    <t>E1145</t>
  </si>
  <si>
    <t>E1030</t>
  </si>
  <si>
    <t>E1427</t>
  </si>
  <si>
    <t>E1269</t>
  </si>
  <si>
    <t>E1468</t>
  </si>
  <si>
    <t>E1426</t>
  </si>
  <si>
    <t>E1461</t>
  </si>
  <si>
    <t>E1040</t>
  </si>
  <si>
    <t>E1547</t>
  </si>
  <si>
    <t>E1232</t>
  </si>
  <si>
    <t>E1355</t>
  </si>
  <si>
    <t>E1053</t>
  </si>
  <si>
    <t>E1337</t>
  </si>
  <si>
    <t>E1387</t>
  </si>
  <si>
    <t>Financial Analyst</t>
  </si>
  <si>
    <t>E1340</t>
  </si>
  <si>
    <t>E1528</t>
  </si>
  <si>
    <t>Brand Manager</t>
  </si>
  <si>
    <t>E1176</t>
  </si>
  <si>
    <t>E1536</t>
  </si>
  <si>
    <t>E1488</t>
  </si>
  <si>
    <t>E1210</t>
  </si>
  <si>
    <t>E1032</t>
  </si>
  <si>
    <t>E1281</t>
  </si>
  <si>
    <t>E1045</t>
  </si>
  <si>
    <t>E1131</t>
  </si>
  <si>
    <t>E1307</t>
  </si>
  <si>
    <t>Recruiter</t>
  </si>
  <si>
    <t>E1456</t>
  </si>
  <si>
    <t>Other</t>
  </si>
  <si>
    <t>E1133</t>
  </si>
  <si>
    <t>E1135</t>
  </si>
  <si>
    <t>E1371</t>
  </si>
  <si>
    <t>E1140</t>
  </si>
  <si>
    <t>E1222</t>
  </si>
  <si>
    <t>E1138</t>
  </si>
  <si>
    <t>E1203</t>
  </si>
  <si>
    <t>E1358</t>
  </si>
  <si>
    <t>E1517</t>
  </si>
  <si>
    <t>E1248</t>
  </si>
  <si>
    <t>E1443</t>
  </si>
  <si>
    <t>E1309</t>
  </si>
  <si>
    <t>E1031</t>
  </si>
  <si>
    <t>E1132</t>
  </si>
  <si>
    <t>E1018</t>
  </si>
  <si>
    <t>E1159</t>
  </si>
  <si>
    <t>E1221</t>
  </si>
  <si>
    <t>E1160</t>
  </si>
  <si>
    <t>E1405</t>
  </si>
  <si>
    <t>E1083</t>
  </si>
  <si>
    <t>E1290</t>
  </si>
  <si>
    <t>E1263</t>
  </si>
  <si>
    <t>E1103</t>
  </si>
  <si>
    <t>E1006</t>
  </si>
  <si>
    <t>E1239</t>
  </si>
  <si>
    <t>E1259</t>
  </si>
  <si>
    <t>E1294</t>
  </si>
  <si>
    <t>E1124</t>
  </si>
  <si>
    <t>E1261</t>
  </si>
  <si>
    <t>E1374</t>
  </si>
  <si>
    <t>E1462</t>
  </si>
  <si>
    <t>E1338</t>
  </si>
  <si>
    <t>E1066</t>
  </si>
  <si>
    <t>E1378</t>
  </si>
  <si>
    <t>E1161</t>
  </si>
  <si>
    <t>E1451</t>
  </si>
  <si>
    <t>E1080</t>
  </si>
  <si>
    <t>E1163</t>
  </si>
  <si>
    <t>E1446</t>
  </si>
  <si>
    <t>E1191</t>
  </si>
  <si>
    <t>E1495</t>
  </si>
  <si>
    <t>E1102</t>
  </si>
  <si>
    <t>E1311</t>
  </si>
  <si>
    <t>E1445</t>
  </si>
  <si>
    <t>E1310</t>
  </si>
  <si>
    <t>E1364</t>
  </si>
  <si>
    <t>E1204</t>
  </si>
  <si>
    <t>E1399</t>
  </si>
  <si>
    <t>E1367</t>
  </si>
  <si>
    <t>E1226</t>
  </si>
  <si>
    <t>E1505</t>
  </si>
  <si>
    <t>E1068</t>
  </si>
  <si>
    <t>E1043</t>
  </si>
  <si>
    <t>E1345</t>
  </si>
  <si>
    <t>E1115</t>
  </si>
  <si>
    <t>E1216</t>
  </si>
  <si>
    <t>E1386</t>
  </si>
  <si>
    <t>E1262</t>
  </si>
  <si>
    <t>E1111</t>
  </si>
  <si>
    <t>E1508</t>
  </si>
  <si>
    <t>E1459</t>
  </si>
  <si>
    <t>E1095</t>
  </si>
  <si>
    <t>E1048</t>
  </si>
  <si>
    <t>E1381</t>
  </si>
  <si>
    <t>E1493</t>
  </si>
  <si>
    <t>E1299</t>
  </si>
  <si>
    <t>E1237</t>
  </si>
  <si>
    <t>E1007</t>
  </si>
  <si>
    <t>E1498</t>
  </si>
  <si>
    <t>E1322</t>
  </si>
  <si>
    <t>E1079</t>
  </si>
  <si>
    <t>E1467</t>
  </si>
  <si>
    <t>E1005</t>
  </si>
  <si>
    <t>E1347</t>
  </si>
  <si>
    <t>E1500</t>
  </si>
  <si>
    <t>E1198</t>
  </si>
  <si>
    <t>E1315</t>
  </si>
  <si>
    <t>E1034</t>
  </si>
  <si>
    <t>E1182</t>
  </si>
  <si>
    <t>E1105</t>
  </si>
  <si>
    <t>E1177</t>
  </si>
  <si>
    <t>E1143</t>
  </si>
  <si>
    <t>E1420</t>
  </si>
  <si>
    <t>E1401</t>
  </si>
  <si>
    <t>E1127</t>
  </si>
  <si>
    <t>E1480</t>
  </si>
  <si>
    <t>E1241</t>
  </si>
  <si>
    <t>E1306</t>
  </si>
  <si>
    <t>E1101</t>
  </si>
  <si>
    <t>E1136</t>
  </si>
  <si>
    <t>E1483</t>
  </si>
  <si>
    <t>E1209</t>
  </si>
  <si>
    <t>E1130</t>
  </si>
  <si>
    <t>E1308</t>
  </si>
  <si>
    <t>E1011</t>
  </si>
  <si>
    <t>E1012</t>
  </si>
  <si>
    <t>E1285</t>
  </si>
  <si>
    <t>E1551</t>
  </si>
  <si>
    <t>E1147</t>
  </si>
  <si>
    <t>E1039</t>
  </si>
  <si>
    <t>E1181</t>
  </si>
  <si>
    <t>E1196</t>
  </si>
  <si>
    <t>E1254</t>
  </si>
  <si>
    <t>E1227</t>
  </si>
  <si>
    <t>E1279</t>
  </si>
  <si>
    <t>E1458</t>
  </si>
  <si>
    <t>E1541</t>
  </si>
  <si>
    <t>E1524</t>
  </si>
  <si>
    <t>E1320</t>
  </si>
  <si>
    <t>E1205</t>
  </si>
  <si>
    <t>E1119</t>
  </si>
  <si>
    <t>E1122</t>
  </si>
  <si>
    <t>E1278</t>
  </si>
  <si>
    <t>E1334</t>
  </si>
  <si>
    <t>E1126</t>
  </si>
  <si>
    <t>E1558</t>
  </si>
  <si>
    <t>E1296</t>
  </si>
  <si>
    <t>E1520</t>
  </si>
  <si>
    <t>E1557</t>
  </si>
  <si>
    <t>E1336</t>
  </si>
  <si>
    <t>E1525</t>
  </si>
  <si>
    <t>E1199</t>
  </si>
  <si>
    <t>E1489</t>
  </si>
  <si>
    <t>E1164</t>
  </si>
  <si>
    <t>E1041</t>
  </si>
  <si>
    <t>E1300</t>
  </si>
  <si>
    <t>E1543</t>
  </si>
  <si>
    <t>E1267</t>
  </si>
  <si>
    <t>E1407</t>
  </si>
  <si>
    <t>E1195</t>
  </si>
  <si>
    <t>E1435</t>
  </si>
  <si>
    <t>E1491</t>
  </si>
  <si>
    <t>E1218</t>
  </si>
  <si>
    <t>E1521</t>
  </si>
  <si>
    <t>E1327</t>
  </si>
  <si>
    <t>E1501</t>
  </si>
  <si>
    <t>E1430</t>
  </si>
  <si>
    <t>E1016</t>
  </si>
  <si>
    <t>E1292</t>
  </si>
  <si>
    <t>E1178</t>
  </si>
  <si>
    <t>E1509</t>
  </si>
  <si>
    <t>E1343</t>
  </si>
  <si>
    <t>E1086</t>
  </si>
  <si>
    <t>E1455</t>
  </si>
  <si>
    <t>E1070</t>
  </si>
  <si>
    <t>E1319</t>
  </si>
  <si>
    <t>E1162</t>
  </si>
  <si>
    <t>E1486</t>
  </si>
  <si>
    <t>E1185</t>
  </si>
  <si>
    <t>E1118</t>
  </si>
  <si>
    <t>E1035</t>
  </si>
  <si>
    <t>E1096</t>
  </si>
  <si>
    <t>E1282</t>
  </si>
  <si>
    <t>E1301</t>
  </si>
  <si>
    <t>E1117</t>
  </si>
  <si>
    <t>E1157</t>
  </si>
  <si>
    <t>E1056</t>
  </si>
  <si>
    <t>E1038</t>
  </si>
  <si>
    <t>E1526</t>
  </si>
  <si>
    <t>E1014</t>
  </si>
  <si>
    <t>E1492</t>
  </si>
  <si>
    <t>E1150</t>
  </si>
  <si>
    <t>E1515</t>
  </si>
  <si>
    <t>E1391</t>
  </si>
  <si>
    <t>E1057</t>
  </si>
  <si>
    <t>E1229</t>
  </si>
  <si>
    <t>E1097</t>
  </si>
  <si>
    <t>E1329</t>
  </si>
  <si>
    <t>E1270</t>
  </si>
  <si>
    <t>E1312</t>
  </si>
  <si>
    <t>E1554</t>
  </si>
  <si>
    <t>E1293</t>
  </si>
  <si>
    <t>E1375</t>
  </si>
  <si>
    <t>E1246</t>
  </si>
  <si>
    <t>E1474</t>
  </si>
  <si>
    <t>E1410</t>
  </si>
  <si>
    <t>E1422</t>
  </si>
  <si>
    <t>E1366</t>
  </si>
  <si>
    <t>E1253</t>
  </si>
  <si>
    <t>E1230</t>
  </si>
  <si>
    <t>E1411</t>
  </si>
  <si>
    <t>E1192</t>
  </si>
  <si>
    <t>E1051</t>
  </si>
  <si>
    <t>E1271</t>
  </si>
  <si>
    <t>E1084</t>
  </si>
  <si>
    <t>E1533</t>
  </si>
  <si>
    <t>E1152</t>
  </si>
  <si>
    <t>E1228</t>
  </si>
  <si>
    <t>E1352</t>
  </si>
  <si>
    <t>E1540</t>
  </si>
  <si>
    <t>E1060</t>
  </si>
  <si>
    <t>E1249</t>
  </si>
  <si>
    <t>E1015</t>
  </si>
  <si>
    <t>E1325</t>
  </si>
  <si>
    <t>E1289</t>
  </si>
  <si>
    <t>E1027</t>
  </si>
  <si>
    <t>E1054</t>
  </si>
  <si>
    <t>E1397</t>
  </si>
  <si>
    <t>E1233</t>
  </si>
  <si>
    <t>E1344</t>
  </si>
  <si>
    <t>E1129</t>
  </si>
  <si>
    <t>E1223</t>
  </si>
  <si>
    <t>E1108</t>
  </si>
  <si>
    <t>E1494</t>
  </si>
  <si>
    <t>E1187</t>
  </si>
  <si>
    <t>E1283</t>
  </si>
  <si>
    <t>E1023</t>
  </si>
  <si>
    <t>E1082</t>
  </si>
  <si>
    <t>E1449</t>
  </si>
  <si>
    <t>E1365</t>
  </si>
  <si>
    <t>E1243</t>
  </si>
  <si>
    <t>E1396</t>
  </si>
  <si>
    <t>E1058</t>
  </si>
  <si>
    <t>E1100</t>
  </si>
  <si>
    <t>E1028</t>
  </si>
  <si>
    <t>E1142</t>
  </si>
  <si>
    <t>E1107</t>
  </si>
  <si>
    <t>E1238</t>
  </si>
  <si>
    <t>E1362</t>
  </si>
  <si>
    <t>E1553</t>
  </si>
  <si>
    <t>E1476</t>
  </si>
  <si>
    <t>E1186</t>
  </si>
  <si>
    <t>E1049</t>
  </si>
  <si>
    <t>E1535</t>
  </si>
  <si>
    <t>E1408</t>
  </si>
  <si>
    <t>E1428</t>
  </si>
  <si>
    <t>E1121</t>
  </si>
  <si>
    <t>E1286</t>
  </si>
  <si>
    <t>E1003</t>
  </si>
  <si>
    <t>E1215</t>
  </si>
  <si>
    <t>E1179</t>
  </si>
  <si>
    <t>E1155</t>
  </si>
  <si>
    <t>E1318</t>
  </si>
  <si>
    <t>E1484</t>
  </si>
  <si>
    <t>E1093</t>
  </si>
  <si>
    <t>E1506</t>
  </si>
  <si>
    <t>E1090</t>
  </si>
  <si>
    <t>E1424</t>
  </si>
  <si>
    <t>E1211</t>
  </si>
  <si>
    <t>E1414</t>
  </si>
  <si>
    <t>E1475</t>
  </si>
  <si>
    <t>E1139</t>
  </si>
  <si>
    <t>E1074</t>
  </si>
  <si>
    <t>E1519</t>
  </si>
  <si>
    <t>E1065</t>
  </si>
  <si>
    <t>E1244</t>
  </si>
  <si>
    <t>E1214</t>
  </si>
  <si>
    <t>E1146</t>
  </si>
  <si>
    <t>E1346</t>
  </si>
  <si>
    <t>E1046</t>
  </si>
  <si>
    <t>E1092</t>
  </si>
  <si>
    <t>E1321</t>
  </si>
  <si>
    <t>E1004</t>
  </si>
  <si>
    <t>E1514</t>
  </si>
  <si>
    <t>E1436</t>
  </si>
  <si>
    <t>E1413</t>
  </si>
  <si>
    <t>E1081</t>
  </si>
  <si>
    <t>E1193</t>
  </si>
  <si>
    <t>E1314</t>
  </si>
  <si>
    <t>E1376</t>
  </si>
  <si>
    <t>E1052</t>
  </si>
  <si>
    <t>E1069</t>
  </si>
  <si>
    <t>E1447</t>
  </si>
  <si>
    <t>E1298</t>
  </si>
  <si>
    <t>E1382</t>
  </si>
  <si>
    <t>E1487</t>
  </si>
  <si>
    <t>E1085</t>
  </si>
  <si>
    <t>E1448</t>
  </si>
  <si>
    <t>E1556</t>
  </si>
  <si>
    <t>E1087</t>
  </si>
  <si>
    <t>E1213</t>
  </si>
  <si>
    <t>E1389</t>
  </si>
  <si>
    <t>E1141</t>
  </si>
  <si>
    <t>E1354</t>
  </si>
  <si>
    <t>E1361</t>
  </si>
  <si>
    <t>E1172</t>
  </si>
  <si>
    <t>E1454</t>
  </si>
  <si>
    <t>E1425</t>
  </si>
  <si>
    <t>E1383</t>
  </si>
  <si>
    <t>E1110</t>
  </si>
  <si>
    <t>E1165</t>
  </si>
  <si>
    <t>E1071</t>
  </si>
  <si>
    <t>E1280</t>
  </si>
  <si>
    <t>E1497</t>
  </si>
  <si>
    <t>E1351</t>
  </si>
  <si>
    <t>E1537</t>
  </si>
  <si>
    <t>E1167</t>
  </si>
  <si>
    <t>E1466</t>
  </si>
  <si>
    <t>E1539</t>
  </si>
  <si>
    <t>E1409</t>
  </si>
  <si>
    <t>E1219</t>
  </si>
  <si>
    <t>E1450</t>
  </si>
  <si>
    <t>E1368</t>
  </si>
  <si>
    <t>E1113</t>
  </si>
  <si>
    <t>E1316</t>
  </si>
  <si>
    <t>E1305</t>
  </si>
  <si>
    <t>E1255</t>
  </si>
  <si>
    <t>E1059</t>
  </si>
  <si>
    <t>E1440</t>
  </si>
  <si>
    <t>E1421</t>
  </si>
  <si>
    <t>E1303</t>
  </si>
  <si>
    <t>E1088</t>
  </si>
  <si>
    <t>E1313</t>
  </si>
  <si>
    <t>E1234</t>
  </si>
  <si>
    <t>E1050</t>
  </si>
  <si>
    <t>E1417</t>
  </si>
  <si>
    <t>E1026</t>
  </si>
  <si>
    <t>E1434</t>
  </si>
  <si>
    <t>E1559</t>
  </si>
  <si>
    <t>E1008</t>
  </si>
  <si>
    <t>E1067</t>
  </si>
  <si>
    <t>E1333</t>
  </si>
  <si>
    <t>E1360</t>
  </si>
  <si>
    <t>E1125</t>
  </si>
  <si>
    <t>E1024</t>
  </si>
  <si>
    <t>E1317</t>
  </si>
  <si>
    <t>E1242</t>
  </si>
  <si>
    <t>E1010</t>
  </si>
  <si>
    <t>E1402</t>
  </si>
  <si>
    <t>E1423</t>
  </si>
  <si>
    <t>E1516</t>
  </si>
  <si>
    <t>E1432</t>
  </si>
  <si>
    <t>E1412</t>
  </si>
  <si>
    <t>E1037</t>
  </si>
  <si>
    <t>E1120</t>
  </si>
  <si>
    <t>E1297</t>
  </si>
  <si>
    <t>E1380</t>
  </si>
  <si>
    <t>E1511</t>
  </si>
  <si>
    <t>E1471</t>
  </si>
  <si>
    <t>E1348</t>
  </si>
  <si>
    <t>E1235</t>
  </si>
  <si>
    <t>E1268</t>
  </si>
  <si>
    <t>E1342</t>
  </si>
  <si>
    <t>E1512</t>
  </si>
  <si>
    <t>E1522</t>
  </si>
  <si>
    <t>E1061</t>
  </si>
  <si>
    <t>E1208</t>
  </si>
  <si>
    <t>E1022</t>
  </si>
  <si>
    <t>E1370</t>
  </si>
  <si>
    <t>E1404</t>
  </si>
  <si>
    <t>E1173</t>
  </si>
  <si>
    <t>E1549</t>
  </si>
  <si>
    <t>E1174</t>
  </si>
  <si>
    <t>E1429</t>
  </si>
  <si>
    <t>E1009</t>
  </si>
  <si>
    <t>E1231</t>
  </si>
  <si>
    <t>E1460</t>
  </si>
  <si>
    <t>E1256</t>
  </si>
  <si>
    <t>E1158</t>
  </si>
  <si>
    <t>E1330</t>
  </si>
  <si>
    <t>E1481</t>
  </si>
  <si>
    <t>E1406</t>
  </si>
  <si>
    <t>E1033</t>
  </si>
  <si>
    <t>E1441</t>
  </si>
  <si>
    <t>E1251</t>
  </si>
  <si>
    <t>E1560</t>
  </si>
  <si>
    <t>E1304</t>
  </si>
  <si>
    <t>E1369</t>
  </si>
  <si>
    <t>E1013</t>
  </si>
  <si>
    <t>E1099</t>
  </si>
  <si>
    <t>E1019</t>
  </si>
  <si>
    <t>E1532</t>
  </si>
  <si>
    <t>E1444</t>
  </si>
  <si>
    <t>E1377</t>
  </si>
  <si>
    <t>E1225</t>
  </si>
  <si>
    <t>E1499</t>
  </si>
  <si>
    <t>E1044</t>
  </si>
  <si>
    <t>E1250</t>
  </si>
  <si>
    <t>E1470</t>
  </si>
  <si>
    <t>E1477</t>
  </si>
  <si>
    <t>E1323</t>
  </si>
  <si>
    <t>E1055</t>
  </si>
  <si>
    <t>E1527</t>
  </si>
  <si>
    <t>E1357</t>
  </si>
  <si>
    <t>E1154</t>
  </si>
  <si>
    <t>E1098</t>
  </si>
  <si>
    <t>E1339</t>
  </si>
  <si>
    <t>E1507</t>
  </si>
  <si>
    <t>E1021</t>
  </si>
  <si>
    <t>E1542</t>
  </si>
  <si>
    <t>E1091</t>
  </si>
  <si>
    <t>E1104</t>
  </si>
  <si>
    <t>E1463</t>
  </si>
  <si>
    <t>E1149</t>
  </si>
  <si>
    <t>E1393</t>
  </si>
  <si>
    <t>E1390</t>
  </si>
  <si>
    <t>E1236</t>
  </si>
  <si>
    <t>E1431</t>
  </si>
  <si>
    <t>E1042</t>
  </si>
  <si>
    <t>E1175</t>
  </si>
  <si>
    <t>E1437</t>
  </si>
  <si>
    <t>E1274</t>
  </si>
  <si>
    <t>E1188</t>
  </si>
  <si>
    <t>E1047</t>
  </si>
  <si>
    <t>E1546</t>
  </si>
  <si>
    <t>E1324</t>
  </si>
  <si>
    <t>E1029</t>
  </si>
  <si>
    <t>E1530</t>
  </si>
  <si>
    <t>E1156</t>
  </si>
  <si>
    <t>E1350</t>
  </si>
  <si>
    <t>E1171</t>
  </si>
  <si>
    <t>E1184</t>
  </si>
  <si>
    <t>E1275</t>
  </si>
  <si>
    <t>E1291</t>
  </si>
  <si>
    <t>E1063</t>
  </si>
  <si>
    <t>E1247</t>
  </si>
  <si>
    <t>E1485</t>
  </si>
  <si>
    <t>E1419</t>
  </si>
  <si>
    <t>E1353</t>
  </si>
  <si>
    <t>E1197</t>
  </si>
  <si>
    <t>E1496</t>
  </si>
  <si>
    <t>E1116</t>
  </si>
  <si>
    <t>E1277</t>
  </si>
  <si>
    <t>E1518</t>
  </si>
  <si>
    <t>E1529</t>
  </si>
  <si>
    <t>E1416</t>
  </si>
  <si>
    <t>E1400</t>
  </si>
  <si>
    <t>E1373</t>
  </si>
  <si>
    <t>E1433</t>
  </si>
  <si>
    <t>E1207</t>
  </si>
  <si>
    <t>E1523</t>
  </si>
  <si>
    <t>E1245</t>
  </si>
  <si>
    <t>E1252</t>
  </si>
  <si>
    <t>E1395</t>
  </si>
  <si>
    <t>E1482</t>
  </si>
  <si>
    <t>E1363</t>
  </si>
  <si>
    <t>E1545</t>
  </si>
  <si>
    <t>E1002</t>
  </si>
  <si>
    <t>E1295</t>
  </si>
  <si>
    <t>E1201</t>
  </si>
  <si>
    <t>E1464</t>
  </si>
  <si>
    <t>E1169</t>
  </si>
  <si>
    <t>E1359</t>
  </si>
  <si>
    <t>E1550</t>
  </si>
  <si>
    <t>E1137</t>
  </si>
  <si>
    <t>E1200</t>
  </si>
  <si>
    <t>E1538</t>
  </si>
  <si>
    <t>E1513</t>
  </si>
  <si>
    <t>E1478</t>
  </si>
  <si>
    <t>E1001</t>
  </si>
  <si>
    <t>E1328</t>
  </si>
  <si>
    <t>E1335</t>
  </si>
  <si>
    <t>E1077</t>
  </si>
  <si>
    <t>E1510</t>
  </si>
  <si>
    <t>E1020</t>
  </si>
  <si>
    <t>E1457</t>
  </si>
  <si>
    <t>E1257</t>
  </si>
  <si>
    <t>E1073</t>
  </si>
  <si>
    <t>E1075</t>
  </si>
  <si>
    <t>E1036</t>
  </si>
  <si>
    <t>E1106</t>
  </si>
  <si>
    <t>E1266</t>
  </si>
  <si>
    <t>E1453</t>
  </si>
  <si>
    <t>E1109</t>
  </si>
  <si>
    <t>E1224</t>
  </si>
  <si>
    <t>E1442</t>
  </si>
  <si>
    <t>E1148</t>
  </si>
  <si>
    <t>E1112</t>
  </si>
  <si>
    <t>E1531</t>
  </si>
  <si>
    <t>E1534</t>
  </si>
  <si>
    <t>E1403</t>
  </si>
  <si>
    <t>E1206</t>
  </si>
  <si>
    <t>E1504</t>
  </si>
  <si>
    <t>E1072</t>
  </si>
  <si>
    <t>E1452</t>
  </si>
  <si>
    <t>E1183</t>
  </si>
  <si>
    <t>E1272</t>
  </si>
  <si>
    <t>E1265</t>
  </si>
  <si>
    <t>E1062</t>
  </si>
  <si>
    <t>E1341</t>
  </si>
  <si>
    <t>E1398</t>
  </si>
  <si>
    <t>E1392</t>
  </si>
  <si>
    <t>E1064</t>
  </si>
  <si>
    <t>E1548</t>
  </si>
  <si>
    <t>E1076</t>
  </si>
  <si>
    <t>E1166</t>
  </si>
  <si>
    <t>E1264</t>
  </si>
  <si>
    <t>E1332</t>
  </si>
  <si>
    <t>E1438</t>
  </si>
  <si>
    <t>E1284</t>
  </si>
  <si>
    <t>E1465</t>
  </si>
  <si>
    <t>E1078</t>
  </si>
  <si>
    <t>E1479</t>
  </si>
  <si>
    <t>E1302</t>
  </si>
  <si>
    <t>E1260</t>
  </si>
  <si>
    <t>E1189</t>
  </si>
  <si>
    <t>E1114</t>
  </si>
  <si>
    <t>E1190</t>
  </si>
  <si>
    <t>E1385</t>
  </si>
  <si>
    <t>E1134</t>
  </si>
  <si>
    <t>E1089</t>
  </si>
  <si>
    <t>E1123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</si>
</sst>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0.0"/>
  </numFmts>
  <fonts count="11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1"/>
      <color rgb="FF000000"/>
      <name val="Arial"/>
      <charset val="1"/>
    </font>
    <font>
      <b/>
      <sz val="11"/>
      <color rgb="FF1F4E78"/>
      <name val="Arial"/>
      <charset val="1"/>
    </font>
    <font>
      <sz val="10"/>
      <name val="Consolas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/>
    <xf numFmtId="0" fontId="6" fillId="0" borderId="0" xfId="0" applyFont="1"/>
    <xf numFmtId="164" fontId="7" fillId="3" borderId="0" xfId="0" applyNumberFormat="1" applyFont="1" applyFill="1"/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165" fontId="6" fillId="0" borderId="0" xfId="0" applyNumberFormat="1" applyFont="1"/>
    <xf numFmtId="166" fontId="6" fillId="0" borderId="0" xfId="0" applyNumberFormat="1" applyFont="1"/>
    <xf numFmtId="0" fontId="10" fillId="0" borderId="0" xfId="0" applyFont="1"/>
    <xf numFmtId="0" fontId="9" fillId="0" borderId="1" xfId="0" applyFont="1" applyBorder="1"/>
    <xf numFmtId="165" fontId="9" fillId="0" borderId="1" xfId="0" applyNumberFormat="1" applyFont="1" applyBorder="1"/>
    <xf numFmtId="3" fontId="9" fillId="0" borderId="1" xfId="0" applyNumberFormat="1" applyFont="1" applyBorder="1"/>
    <xf numFmtId="2" fontId="9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9" fillId="4" borderId="1" xfId="0" applyFont="1" applyFill="1" applyBorder="1" applyAlignment="1">
      <alignment horizontal="center" vertical="center" wrapText="1"/>
    </xf>
    <xf numFmtId="164" fontId="9" fillId="0" borderId="0" xfId="0" applyNumberFormat="1" applyFont="1"/>
    <xf numFmtId="3" fontId="9" fillId="0" borderId="0" xfId="0" applyNumberFormat="1" applyFont="1"/>
    <xf numFmtId="0" fontId="8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8EA5CA"/>
      <rgbColor rgb="FFAA433F"/>
      <rgbColor rgb="FFF2F2F2"/>
      <rgbColor rgb="FFCCFFFF"/>
      <rgbColor rgb="FF660066"/>
      <rgbColor rgb="FFDB823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33CCCC"/>
      <rgbColor rgb="FF99CC00"/>
      <rgbColor rgb="FFFFCC00"/>
      <rgbColor rgb="FFFF9900"/>
      <rgbColor rgb="FFFF6600"/>
      <rgbColor rgb="FF6F568D"/>
      <rgbColor rgb="FF87A44B"/>
      <rgbColor rgb="FF003366"/>
      <rgbColor rgb="FF3D97AF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Attrition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Analysis!$E$12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Analysis!$A$13:$A$19</c:f>
              <c:strCache>
                <c:ptCount val="7"/>
                <c:pt idx="0">
                  <c:v>Sales</c:v>
                </c:pt>
                <c:pt idx="1">
                  <c:v>Customer Support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  <c:pt idx="5">
                  <c:v>Operations</c:v>
                </c:pt>
                <c:pt idx="6">
                  <c:v>Marketing</c:v>
                </c:pt>
              </c:strCache>
            </c:strRef>
          </c:cat>
          <c:val>
            <c:numRef>
              <c:f>Analysis!$E$13:$E$19</c:f>
              <c:numCache>
                <c:formatCode>0.0%</c:formatCode>
                <c:ptCount val="7"/>
                <c:pt idx="0">
                  <c:v>0.36363636363636365</c:v>
                </c:pt>
                <c:pt idx="1">
                  <c:v>0.23</c:v>
                </c:pt>
                <c:pt idx="2">
                  <c:v>0.21111111111111111</c:v>
                </c:pt>
                <c:pt idx="3">
                  <c:v>0.31428571428571428</c:v>
                </c:pt>
                <c:pt idx="4">
                  <c:v>0.11666666666666667</c:v>
                </c:pt>
                <c:pt idx="5">
                  <c:v>0.22727272727272727</c:v>
                </c:pt>
                <c:pt idx="6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1-4993-B0B1-B7A170562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695436"/>
        <c:axId val="42324091"/>
      </c:barChart>
      <c:catAx>
        <c:axId val="66695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24091"/>
        <c:crosses val="autoZero"/>
        <c:auto val="1"/>
        <c:lblAlgn val="ctr"/>
        <c:lblOffset val="100"/>
        <c:noMultiLvlLbl val="0"/>
      </c:catAx>
      <c:valAx>
        <c:axId val="42324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6954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Leavers per Year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Analysis!$A$25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Analysis!$B$24:$G$24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Analysis!$B$25:$G$25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16</c:v>
                </c:pt>
                <c:pt idx="5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09-404E-80D7-24D47FACDE09}"/>
            </c:ext>
          </c:extLst>
        </c:ser>
        <c:ser>
          <c:idx val="1"/>
          <c:order val="1"/>
          <c:tx>
            <c:strRef>
              <c:f>Analysis!$A$26</c:f>
              <c:strCache>
                <c:ptCount val="1"/>
                <c:pt idx="0">
                  <c:v>Customer Support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Analysis!$B$24:$G$24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Analysis!$B$26:$G$26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09-404E-80D7-24D47FACDE09}"/>
            </c:ext>
          </c:extLst>
        </c:ser>
        <c:ser>
          <c:idx val="2"/>
          <c:order val="2"/>
          <c:tx>
            <c:strRef>
              <c:f>Analysis!$A$27</c:f>
              <c:strCache>
                <c:ptCount val="1"/>
                <c:pt idx="0">
                  <c:v>IT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Analysis!$B$24:$G$24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Analysis!$B$27:$G$27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09-404E-80D7-24D47FACDE09}"/>
            </c:ext>
          </c:extLst>
        </c:ser>
        <c:ser>
          <c:idx val="3"/>
          <c:order val="3"/>
          <c:tx>
            <c:strRef>
              <c:f>Analysis!$A$28</c:f>
              <c:strCache>
                <c:ptCount val="1"/>
                <c:pt idx="0">
                  <c:v>HR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Analysis!$B$24:$G$24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Analysis!$B$28:$G$28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09-404E-80D7-24D47FACDE09}"/>
            </c:ext>
          </c:extLst>
        </c:ser>
        <c:ser>
          <c:idx val="4"/>
          <c:order val="4"/>
          <c:tx>
            <c:strRef>
              <c:f>Analysis!$A$29</c:f>
              <c:strCache>
                <c:ptCount val="1"/>
                <c:pt idx="0">
                  <c:v>Finance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Analysis!$B$24:$G$24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Analysis!$B$29:$G$29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A09-404E-80D7-24D47FACDE09}"/>
            </c:ext>
          </c:extLst>
        </c:ser>
        <c:ser>
          <c:idx val="5"/>
          <c:order val="5"/>
          <c:tx>
            <c:strRef>
              <c:f>Analysis!$A$30</c:f>
              <c:strCache>
                <c:ptCount val="1"/>
                <c:pt idx="0">
                  <c:v>Operations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Analysis!$B$24:$G$24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Analysis!$B$30:$G$30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A09-404E-80D7-24D47FACDE09}"/>
            </c:ext>
          </c:extLst>
        </c:ser>
        <c:ser>
          <c:idx val="6"/>
          <c:order val="6"/>
          <c:tx>
            <c:strRef>
              <c:f>Analysis!$A$31</c:f>
              <c:strCache>
                <c:ptCount val="1"/>
                <c:pt idx="0">
                  <c:v>Marketing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Analysis!$B$24:$G$24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Analysis!$B$31:$G$31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A09-404E-80D7-24D47FACD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515859"/>
        <c:axId val="29955649"/>
      </c:lineChart>
      <c:catAx>
        <c:axId val="18515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955649"/>
        <c:crosses val="autoZero"/>
        <c:auto val="1"/>
        <c:lblAlgn val="ctr"/>
        <c:lblOffset val="100"/>
        <c:noMultiLvlLbl val="0"/>
      </c:catAx>
      <c:valAx>
        <c:axId val="29955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5158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160560</xdr:rowOff>
    </xdr:from>
    <xdr:to>
      <xdr:col>19</xdr:col>
      <xdr:colOff>256320</xdr:colOff>
      <xdr:row>16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10080</xdr:rowOff>
    </xdr:from>
    <xdr:to>
      <xdr:col>19</xdr:col>
      <xdr:colOff>256320</xdr:colOff>
      <xdr:row>34</xdr:row>
      <xdr:rowOff>32040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B458EB-4FEC-4A3B-A0F1-3258D998193F}" name="HR_DATA" displayName="HR_DATA" ref="A1:P561" totalsRowShown="0" headerRowDxfId="19" dataDxfId="17" headerRowBorderDxfId="18" tableBorderDxfId="16">
  <autoFilter ref="A1:P561" xr:uid="{00000000-0009-0000-0000-000002000000}"/>
  <sortState xmlns:xlrd2="http://schemas.microsoft.com/office/spreadsheetml/2017/richdata2" ref="A2:P561">
    <sortCondition ref="J1:J561"/>
  </sortState>
  <tableColumns count="16">
    <tableColumn id="1" xr3:uid="{BA9BC383-3A1E-4FBB-AE32-11F38F9BF81C}" name="EmployeeID" dataDxfId="15"/>
    <tableColumn id="2" xr3:uid="{12CBDB94-7C2C-4443-ADEC-2CEB338C7EE7}" name="Department" dataDxfId="14"/>
    <tableColumn id="3" xr3:uid="{A4B6AAE8-7E26-4201-8E4E-CFB725ACFD2E}" name="JobRole" dataDxfId="13"/>
    <tableColumn id="4" xr3:uid="{F9C14ECE-FFF9-4013-B542-86C111B63D90}" name="Gender" dataDxfId="12"/>
    <tableColumn id="5" xr3:uid="{EB7BB819-E464-4A41-B824-D3CEB29F02AD}" name="Age" dataDxfId="11"/>
    <tableColumn id="6" xr3:uid="{036712BB-E08E-4503-B7B4-E47A3D8ABCE6}" name="HireDate" dataDxfId="10"/>
    <tableColumn id="7" xr3:uid="{89A20FA0-0CD2-438F-A25B-E9CB2FB80849}" name="ExitDate" dataDxfId="9"/>
    <tableColumn id="8" xr3:uid="{78269B8A-84AF-47D3-B5A7-5107634DF149}" name="Status" dataDxfId="8"/>
    <tableColumn id="9" xr3:uid="{37E4876C-A182-4775-ADD6-3C48F76F41AC}" name="Salary" dataDxfId="7"/>
    <tableColumn id="10" xr3:uid="{EBDFD811-390C-4E4A-848C-4601DA60CF5A}" name="PerformanceRating" dataDxfId="6"/>
    <tableColumn id="11" xr3:uid="{C4222821-26EF-4AF9-A3BE-0CBEFFC24EB5}" name="SatisfactionScore" dataDxfId="5"/>
    <tableColumn id="12" xr3:uid="{C3DC7D81-0ABE-4DEB-8B79-398EB755C91D}" name="Overtime" dataDxfId="4"/>
    <tableColumn id="13" xr3:uid="{DA019BF4-80DC-433D-9ABB-10ABF2587663}" name="ExitReason" dataDxfId="3"/>
    <tableColumn id="14" xr3:uid="{CDB95C59-6206-40EB-8E6C-99A2A0D63FD3}" name="TenureYears" dataDxfId="2">
      <calculatedColumnFormula>ROUND((IF(G2="",Analysis!$B$2,G2)-F2)/365.25,1)</calculatedColumnFormula>
    </tableColumn>
    <tableColumn id="15" xr3:uid="{D5664500-9A03-4C67-89BA-B5D093DB092D}" name="ExitYear" dataDxfId="1">
      <calculatedColumnFormula>IF(G2="","",YEAR(G2))</calculatedColumnFormula>
    </tableColumn>
    <tableColumn id="16" xr3:uid="{B4F4EB0C-241C-41CA-8627-59EBD8D9E461}" name="AgeGroup" dataDxfId="0">
      <calculatedColumnFormula>IF(E2&lt;30,"&lt;30",IF(E2&lt;40,"30-39","40+"))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28.5" x14ac:dyDescent="0.25">
      <c r="A4" s="2" t="s">
        <v>2</v>
      </c>
    </row>
    <row r="5" spans="1:1" x14ac:dyDescent="0.25">
      <c r="A5" s="2"/>
    </row>
    <row r="6" spans="1:1" x14ac:dyDescent="0.25">
      <c r="A6" s="3" t="s">
        <v>3</v>
      </c>
    </row>
    <row r="7" spans="1:1" ht="42.75" x14ac:dyDescent="0.25">
      <c r="A7" s="2" t="s">
        <v>4</v>
      </c>
    </row>
    <row r="8" spans="1:1" ht="28.5" x14ac:dyDescent="0.25">
      <c r="A8" s="2" t="s">
        <v>5</v>
      </c>
    </row>
    <row r="9" spans="1:1" x14ac:dyDescent="0.25">
      <c r="A9" s="2"/>
    </row>
    <row r="10" spans="1:1" x14ac:dyDescent="0.25">
      <c r="A10" s="3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/>
    </row>
    <row r="19" spans="1:1" x14ac:dyDescent="0.25">
      <c r="A19" s="3" t="s">
        <v>14</v>
      </c>
    </row>
    <row r="20" spans="1:1" ht="28.5" x14ac:dyDescent="0.25">
      <c r="A20" s="2" t="s">
        <v>15</v>
      </c>
    </row>
    <row r="21" spans="1:1" ht="28.5" x14ac:dyDescent="0.25">
      <c r="A21" s="2" t="s">
        <v>16</v>
      </c>
    </row>
    <row r="22" spans="1:1" x14ac:dyDescent="0.25">
      <c r="A22" s="2" t="s">
        <v>17</v>
      </c>
    </row>
    <row r="23" spans="1:1" ht="28.5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/>
    </row>
    <row r="28" spans="1:1" x14ac:dyDescent="0.25">
      <c r="A28" s="3" t="s">
        <v>22</v>
      </c>
    </row>
    <row r="29" spans="1:1" x14ac:dyDescent="0.25">
      <c r="A29" s="4" t="s">
        <v>23</v>
      </c>
    </row>
    <row r="30" spans="1:1" x14ac:dyDescent="0.25">
      <c r="A30" s="4" t="s">
        <v>24</v>
      </c>
    </row>
    <row r="31" spans="1:1" x14ac:dyDescent="0.25">
      <c r="A31" s="4" t="s">
        <v>25</v>
      </c>
    </row>
    <row r="32" spans="1:1" x14ac:dyDescent="0.25">
      <c r="A32" s="4" t="s">
        <v>26</v>
      </c>
    </row>
    <row r="33" spans="1:1" x14ac:dyDescent="0.25">
      <c r="A33" s="4" t="s">
        <v>27</v>
      </c>
    </row>
    <row r="34" spans="1:1" x14ac:dyDescent="0.25">
      <c r="A34" s="4" t="s">
        <v>28</v>
      </c>
    </row>
    <row r="35" spans="1:1" x14ac:dyDescent="0.25">
      <c r="A35" s="4" t="s">
        <v>29</v>
      </c>
    </row>
    <row r="36" spans="1:1" x14ac:dyDescent="0.25">
      <c r="A36" s="4" t="s">
        <v>30</v>
      </c>
    </row>
    <row r="37" spans="1:1" x14ac:dyDescent="0.25">
      <c r="A37" s="2"/>
    </row>
    <row r="38" spans="1:1" x14ac:dyDescent="0.25">
      <c r="A38" s="3" t="s">
        <v>31</v>
      </c>
    </row>
    <row r="39" spans="1:1" x14ac:dyDescent="0.25">
      <c r="A39" s="2" t="s">
        <v>32</v>
      </c>
    </row>
    <row r="40" spans="1:1" x14ac:dyDescent="0.25">
      <c r="A40" s="2" t="s">
        <v>33</v>
      </c>
    </row>
    <row r="41" spans="1:1" x14ac:dyDescent="0.25">
      <c r="A41" s="2" t="s">
        <v>34</v>
      </c>
    </row>
    <row r="42" spans="1:1" x14ac:dyDescent="0.25">
      <c r="A42" s="2" t="s">
        <v>35</v>
      </c>
    </row>
    <row r="43" spans="1:1" x14ac:dyDescent="0.25">
      <c r="A43" s="2"/>
    </row>
    <row r="44" spans="1:1" x14ac:dyDescent="0.25">
      <c r="A44" s="3" t="s">
        <v>36</v>
      </c>
    </row>
    <row r="45" spans="1:1" ht="28.5" x14ac:dyDescent="0.25">
      <c r="A45" s="2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zoomScaleNormal="100" workbookViewId="0"/>
  </sheetViews>
  <sheetFormatPr defaultColWidth="8.7109375" defaultRowHeight="15" x14ac:dyDescent="0.25"/>
  <cols>
    <col min="1" max="1" width="34" customWidth="1"/>
    <col min="2" max="9" width="15" customWidth="1"/>
  </cols>
  <sheetData>
    <row r="1" spans="1:9" ht="18" x14ac:dyDescent="0.25">
      <c r="A1" s="5" t="s">
        <v>38</v>
      </c>
    </row>
    <row r="2" spans="1:9" x14ac:dyDescent="0.25">
      <c r="A2" s="6" t="s">
        <v>39</v>
      </c>
      <c r="B2" s="7">
        <v>46322</v>
      </c>
    </row>
    <row r="3" spans="1:9" x14ac:dyDescent="0.25">
      <c r="A3" s="8" t="s">
        <v>40</v>
      </c>
      <c r="B3" s="8" t="s">
        <v>41</v>
      </c>
    </row>
    <row r="4" spans="1:9" x14ac:dyDescent="0.25">
      <c r="A4" s="9" t="s">
        <v>42</v>
      </c>
      <c r="B4" s="6">
        <f>COUNTA(HR_Data!$A$2:$A$561)</f>
        <v>560</v>
      </c>
    </row>
    <row r="5" spans="1:9" x14ac:dyDescent="0.25">
      <c r="A5" s="9" t="s">
        <v>43</v>
      </c>
      <c r="B5" s="6">
        <f>COUNTIFS(HR_Data!$H$2:$H$561,"Active")</f>
        <v>420</v>
      </c>
    </row>
    <row r="6" spans="1:9" x14ac:dyDescent="0.25">
      <c r="A6" s="9" t="s">
        <v>44</v>
      </c>
      <c r="B6" s="6">
        <f>COUNTIFS(HR_Data!$H$2:$H$561,"Left")</f>
        <v>140</v>
      </c>
    </row>
    <row r="7" spans="1:9" x14ac:dyDescent="0.25">
      <c r="A7" s="9" t="s">
        <v>45</v>
      </c>
      <c r="B7" s="10">
        <f>B6/B4</f>
        <v>0.25</v>
      </c>
    </row>
    <row r="8" spans="1:9" x14ac:dyDescent="0.25">
      <c r="A8" s="9" t="s">
        <v>46</v>
      </c>
      <c r="B8" s="10">
        <f>1-B7</f>
        <v>0.75</v>
      </c>
    </row>
    <row r="9" spans="1:9" x14ac:dyDescent="0.25">
      <c r="A9" s="9" t="s">
        <v>47</v>
      </c>
      <c r="B9" s="11">
        <f>AVERAGEIFS(HR_Data!$N$2:$N$561,HR_Data!$H$2:$H$561,"Left")</f>
        <v>2.4771428571428578</v>
      </c>
    </row>
    <row r="11" spans="1:9" ht="15.75" x14ac:dyDescent="0.25">
      <c r="A11" s="12" t="s">
        <v>48</v>
      </c>
    </row>
    <row r="12" spans="1:9" ht="30" x14ac:dyDescent="0.25">
      <c r="A12" s="8" t="s">
        <v>49</v>
      </c>
      <c r="B12" s="8" t="s">
        <v>50</v>
      </c>
      <c r="C12" s="8" t="s">
        <v>51</v>
      </c>
      <c r="D12" s="8" t="s">
        <v>44</v>
      </c>
      <c r="E12" s="8" t="s">
        <v>52</v>
      </c>
      <c r="F12" s="8" t="s">
        <v>53</v>
      </c>
      <c r="G12" s="8" t="s">
        <v>54</v>
      </c>
      <c r="H12" s="8" t="s">
        <v>55</v>
      </c>
      <c r="I12" s="8" t="s">
        <v>56</v>
      </c>
    </row>
    <row r="13" spans="1:9" x14ac:dyDescent="0.25">
      <c r="A13" s="13" t="s">
        <v>57</v>
      </c>
      <c r="B13" s="13">
        <f>COUNTIFS(HR_Data!$B$2:$B$561,A13)</f>
        <v>110</v>
      </c>
      <c r="C13" s="13">
        <f>COUNTIFS(HR_Data!$B$2:$B$561,A13,HR_Data!$H$2:$H$561,"Active")</f>
        <v>70</v>
      </c>
      <c r="D13" s="13">
        <f>COUNTIFS(HR_Data!$B$2:$B$561,A13,HR_Data!$H$2:$H$561,"Left")</f>
        <v>40</v>
      </c>
      <c r="E13" s="14">
        <f t="shared" ref="E13:E19" si="0">IFERROR(D13/B13,0)</f>
        <v>0.36363636363636365</v>
      </c>
      <c r="F13" s="14">
        <f t="shared" ref="F13:F20" si="1">1-E13</f>
        <v>0.63636363636363635</v>
      </c>
      <c r="G13" s="15">
        <f>AVERAGEIFS(HR_Data!$I$2:$I$561,HR_Data!$B$2:$B$561,A13)</f>
        <v>61002.727272727272</v>
      </c>
      <c r="H13" s="16">
        <f>AVERAGEIFS(HR_Data!$K$2:$K$561,HR_Data!$B$2:$B$561,A13)</f>
        <v>3.1545454545454548</v>
      </c>
      <c r="I13" s="14">
        <f>COUNTIFS(HR_Data!$B$2:$B$561,A13,HR_Data!$L$2:$L$561,"Yes")/B13</f>
        <v>0.45454545454545453</v>
      </c>
    </row>
    <row r="14" spans="1:9" x14ac:dyDescent="0.25">
      <c r="A14" s="13" t="s">
        <v>58</v>
      </c>
      <c r="B14" s="13">
        <f>COUNTIFS(HR_Data!$B$2:$B$561,A14)</f>
        <v>100</v>
      </c>
      <c r="C14" s="13">
        <f>COUNTIFS(HR_Data!$B$2:$B$561,A14,HR_Data!$H$2:$H$561,"Active")</f>
        <v>77</v>
      </c>
      <c r="D14" s="13">
        <f>COUNTIFS(HR_Data!$B$2:$B$561,A14,HR_Data!$H$2:$H$561,"Left")</f>
        <v>23</v>
      </c>
      <c r="E14" s="14">
        <f t="shared" si="0"/>
        <v>0.23</v>
      </c>
      <c r="F14" s="14">
        <f t="shared" si="1"/>
        <v>0.77</v>
      </c>
      <c r="G14" s="15">
        <f>AVERAGEIFS(HR_Data!$I$2:$I$561,HR_Data!$B$2:$B$561,A14)</f>
        <v>50891</v>
      </c>
      <c r="H14" s="16">
        <f>AVERAGEIFS(HR_Data!$K$2:$K$561,HR_Data!$B$2:$B$561,A14)</f>
        <v>3.29</v>
      </c>
      <c r="I14" s="14">
        <f>COUNTIFS(HR_Data!$B$2:$B$561,A14,HR_Data!$L$2:$L$561,"Yes")/B14</f>
        <v>0.3</v>
      </c>
    </row>
    <row r="15" spans="1:9" x14ac:dyDescent="0.25">
      <c r="A15" s="13" t="s">
        <v>59</v>
      </c>
      <c r="B15" s="13">
        <f>COUNTIFS(HR_Data!$B$2:$B$561,A15)</f>
        <v>90</v>
      </c>
      <c r="C15" s="13">
        <f>COUNTIFS(HR_Data!$B$2:$B$561,A15,HR_Data!$H$2:$H$561,"Active")</f>
        <v>71</v>
      </c>
      <c r="D15" s="13">
        <f>COUNTIFS(HR_Data!$B$2:$B$561,A15,HR_Data!$H$2:$H$561,"Left")</f>
        <v>19</v>
      </c>
      <c r="E15" s="14">
        <f t="shared" si="0"/>
        <v>0.21111111111111111</v>
      </c>
      <c r="F15" s="14">
        <f t="shared" si="1"/>
        <v>0.78888888888888886</v>
      </c>
      <c r="G15" s="15">
        <f>AVERAGEIFS(HR_Data!$I$2:$I$561,HR_Data!$B$2:$B$561,A15)</f>
        <v>107667.77777777778</v>
      </c>
      <c r="H15" s="16">
        <f>AVERAGEIFS(HR_Data!$K$2:$K$561,HR_Data!$B$2:$B$561,A15)</f>
        <v>3.3555555555555556</v>
      </c>
      <c r="I15" s="14">
        <f>COUNTIFS(HR_Data!$B$2:$B$561,A15,HR_Data!$L$2:$L$561,"Yes")/B15</f>
        <v>0.3</v>
      </c>
    </row>
    <row r="16" spans="1:9" x14ac:dyDescent="0.25">
      <c r="A16" s="13" t="s">
        <v>60</v>
      </c>
      <c r="B16" s="13">
        <f>COUNTIFS(HR_Data!$B$2:$B$561,A16)</f>
        <v>35</v>
      </c>
      <c r="C16" s="13">
        <f>COUNTIFS(HR_Data!$B$2:$B$561,A16,HR_Data!$H$2:$H$561,"Active")</f>
        <v>24</v>
      </c>
      <c r="D16" s="13">
        <f>COUNTIFS(HR_Data!$B$2:$B$561,A16,HR_Data!$H$2:$H$561,"Left")</f>
        <v>11</v>
      </c>
      <c r="E16" s="14">
        <f t="shared" si="0"/>
        <v>0.31428571428571428</v>
      </c>
      <c r="F16" s="14">
        <f t="shared" si="1"/>
        <v>0.68571428571428572</v>
      </c>
      <c r="G16" s="15">
        <f>AVERAGEIFS(HR_Data!$I$2:$I$561,HR_Data!$B$2:$B$561,A16)</f>
        <v>71265.71428571429</v>
      </c>
      <c r="H16" s="16">
        <f>AVERAGEIFS(HR_Data!$K$2:$K$561,HR_Data!$B$2:$B$561,A16)</f>
        <v>3.1714285714285713</v>
      </c>
      <c r="I16" s="14">
        <f>COUNTIFS(HR_Data!$B$2:$B$561,A16,HR_Data!$L$2:$L$561,"Yes")/B16</f>
        <v>0.51428571428571423</v>
      </c>
    </row>
    <row r="17" spans="1:9" x14ac:dyDescent="0.25">
      <c r="A17" s="13" t="s">
        <v>61</v>
      </c>
      <c r="B17" s="13">
        <f>COUNTIFS(HR_Data!$B$2:$B$561,A17)</f>
        <v>60</v>
      </c>
      <c r="C17" s="13">
        <f>COUNTIFS(HR_Data!$B$2:$B$561,A17,HR_Data!$H$2:$H$561,"Active")</f>
        <v>53</v>
      </c>
      <c r="D17" s="13">
        <f>COUNTIFS(HR_Data!$B$2:$B$561,A17,HR_Data!$H$2:$H$561,"Left")</f>
        <v>7</v>
      </c>
      <c r="E17" s="14">
        <f t="shared" si="0"/>
        <v>0.11666666666666667</v>
      </c>
      <c r="F17" s="14">
        <f t="shared" si="1"/>
        <v>0.8833333333333333</v>
      </c>
      <c r="G17" s="15">
        <f>AVERAGEIFS(HR_Data!$I$2:$I$561,HR_Data!$B$2:$B$561,A17)</f>
        <v>81165</v>
      </c>
      <c r="H17" s="16">
        <f>AVERAGEIFS(HR_Data!$K$2:$K$561,HR_Data!$B$2:$B$561,A17)</f>
        <v>3.35</v>
      </c>
      <c r="I17" s="14">
        <f>COUNTIFS(HR_Data!$B$2:$B$561,A17,HR_Data!$L$2:$L$561,"Yes")/B17</f>
        <v>0.28333333333333333</v>
      </c>
    </row>
    <row r="18" spans="1:9" x14ac:dyDescent="0.25">
      <c r="A18" s="13" t="s">
        <v>62</v>
      </c>
      <c r="B18" s="13">
        <f>COUNTIFS(HR_Data!$B$2:$B$561,A18)</f>
        <v>110</v>
      </c>
      <c r="C18" s="13">
        <f>COUNTIFS(HR_Data!$B$2:$B$561,A18,HR_Data!$H$2:$H$561,"Active")</f>
        <v>85</v>
      </c>
      <c r="D18" s="13">
        <f>COUNTIFS(HR_Data!$B$2:$B$561,A18,HR_Data!$H$2:$H$561,"Left")</f>
        <v>25</v>
      </c>
      <c r="E18" s="14">
        <f t="shared" si="0"/>
        <v>0.22727272727272727</v>
      </c>
      <c r="F18" s="14">
        <f t="shared" si="1"/>
        <v>0.77272727272727271</v>
      </c>
      <c r="G18" s="15">
        <f>AVERAGEIFS(HR_Data!$I$2:$I$561,HR_Data!$B$2:$B$561,A18)</f>
        <v>54377.272727272728</v>
      </c>
      <c r="H18" s="16">
        <f>AVERAGEIFS(HR_Data!$K$2:$K$561,HR_Data!$B$2:$B$561,A18)</f>
        <v>3.3545454545454545</v>
      </c>
      <c r="I18" s="14">
        <f>COUNTIFS(HR_Data!$B$2:$B$561,A18,HR_Data!$L$2:$L$561,"Yes")/B18</f>
        <v>0.29090909090909089</v>
      </c>
    </row>
    <row r="19" spans="1:9" x14ac:dyDescent="0.25">
      <c r="A19" s="13" t="s">
        <v>63</v>
      </c>
      <c r="B19" s="13">
        <f>COUNTIFS(HR_Data!$B$2:$B$561,A19)</f>
        <v>55</v>
      </c>
      <c r="C19" s="13">
        <f>COUNTIFS(HR_Data!$B$2:$B$561,A19,HR_Data!$H$2:$H$561,"Active")</f>
        <v>40</v>
      </c>
      <c r="D19" s="13">
        <f>COUNTIFS(HR_Data!$B$2:$B$561,A19,HR_Data!$H$2:$H$561,"Left")</f>
        <v>15</v>
      </c>
      <c r="E19" s="14">
        <f t="shared" si="0"/>
        <v>0.27272727272727271</v>
      </c>
      <c r="F19" s="14">
        <f t="shared" si="1"/>
        <v>0.72727272727272729</v>
      </c>
      <c r="G19" s="15">
        <f>AVERAGEIFS(HR_Data!$I$2:$I$561,HR_Data!$B$2:$B$561,A19)</f>
        <v>72569.090909090912</v>
      </c>
      <c r="H19" s="16">
        <f>AVERAGEIFS(HR_Data!$K$2:$K$561,HR_Data!$B$2:$B$561,A19)</f>
        <v>3.3272727272727272</v>
      </c>
      <c r="I19" s="14">
        <f>COUNTIFS(HR_Data!$B$2:$B$561,A19,HR_Data!$L$2:$L$561,"Yes")/B19</f>
        <v>0.27272727272727271</v>
      </c>
    </row>
    <row r="20" spans="1:9" x14ac:dyDescent="0.25">
      <c r="A20" s="17" t="s">
        <v>64</v>
      </c>
      <c r="B20" s="17">
        <f>SUM(B13:B19)</f>
        <v>560</v>
      </c>
      <c r="C20" s="17">
        <f>SUM(C13:C19)</f>
        <v>420</v>
      </c>
      <c r="D20" s="17">
        <f>SUM(D13:D19)</f>
        <v>140</v>
      </c>
      <c r="E20" s="18">
        <f>D20/B20</f>
        <v>0.25</v>
      </c>
      <c r="F20" s="18">
        <f t="shared" si="1"/>
        <v>0.75</v>
      </c>
      <c r="G20" s="17"/>
      <c r="H20" s="17"/>
      <c r="I20" s="17"/>
    </row>
    <row r="23" spans="1:9" ht="15.75" x14ac:dyDescent="0.25">
      <c r="A23" s="12" t="s">
        <v>65</v>
      </c>
    </row>
    <row r="24" spans="1:9" x14ac:dyDescent="0.25">
      <c r="A24" s="8" t="s">
        <v>49</v>
      </c>
      <c r="B24" s="8">
        <v>2021</v>
      </c>
      <c r="C24" s="8">
        <v>2022</v>
      </c>
      <c r="D24" s="8">
        <v>2023</v>
      </c>
      <c r="E24" s="8">
        <v>2024</v>
      </c>
      <c r="F24" s="8">
        <v>2025</v>
      </c>
      <c r="G24" s="8">
        <v>2026</v>
      </c>
      <c r="H24" s="8" t="s">
        <v>64</v>
      </c>
    </row>
    <row r="25" spans="1:9" x14ac:dyDescent="0.25">
      <c r="A25" s="13" t="s">
        <v>57</v>
      </c>
      <c r="B25" s="13">
        <f>COUNTIFS(HR_Data!$B$2:$B$561,$A25,HR_Data!$O$2:$O$561,B$24)</f>
        <v>2</v>
      </c>
      <c r="C25" s="13">
        <f>COUNTIFS(HR_Data!$B$2:$B$561,$A25,HR_Data!$O$2:$O$561,C$24)</f>
        <v>1</v>
      </c>
      <c r="D25" s="13">
        <f>COUNTIFS(HR_Data!$B$2:$B$561,$A25,HR_Data!$O$2:$O$561,D$24)</f>
        <v>3</v>
      </c>
      <c r="E25" s="13">
        <f>COUNTIFS(HR_Data!$B$2:$B$561,$A25,HR_Data!$O$2:$O$561,E$24)</f>
        <v>9</v>
      </c>
      <c r="F25" s="13">
        <f>COUNTIFS(HR_Data!$B$2:$B$561,$A25,HR_Data!$O$2:$O$561,F$24)</f>
        <v>16</v>
      </c>
      <c r="G25" s="13">
        <f>COUNTIFS(HR_Data!$B$2:$B$561,$A25,HR_Data!$O$2:$O$561,G$24)</f>
        <v>9</v>
      </c>
      <c r="H25" s="13">
        <f t="shared" ref="H25:H31" si="2">SUM(B25:G25)</f>
        <v>40</v>
      </c>
    </row>
    <row r="26" spans="1:9" x14ac:dyDescent="0.25">
      <c r="A26" s="13" t="s">
        <v>58</v>
      </c>
      <c r="B26" s="13">
        <f>COUNTIFS(HR_Data!$B$2:$B$561,$A26,HR_Data!$O$2:$O$561,B$24)</f>
        <v>1</v>
      </c>
      <c r="C26" s="13">
        <f>COUNTIFS(HR_Data!$B$2:$B$561,$A26,HR_Data!$O$2:$O$561,C$24)</f>
        <v>1</v>
      </c>
      <c r="D26" s="13">
        <f>COUNTIFS(HR_Data!$B$2:$B$561,$A26,HR_Data!$O$2:$O$561,D$24)</f>
        <v>0</v>
      </c>
      <c r="E26" s="13">
        <f>COUNTIFS(HR_Data!$B$2:$B$561,$A26,HR_Data!$O$2:$O$561,E$24)</f>
        <v>5</v>
      </c>
      <c r="F26" s="13">
        <f>COUNTIFS(HR_Data!$B$2:$B$561,$A26,HR_Data!$O$2:$O$561,F$24)</f>
        <v>6</v>
      </c>
      <c r="G26" s="13">
        <f>COUNTIFS(HR_Data!$B$2:$B$561,$A26,HR_Data!$O$2:$O$561,G$24)</f>
        <v>9</v>
      </c>
      <c r="H26" s="13">
        <f t="shared" si="2"/>
        <v>22</v>
      </c>
    </row>
    <row r="27" spans="1:9" x14ac:dyDescent="0.25">
      <c r="A27" s="13" t="s">
        <v>59</v>
      </c>
      <c r="B27" s="13">
        <f>COUNTIFS(HR_Data!$B$2:$B$561,$A27,HR_Data!$O$2:$O$561,B$24)</f>
        <v>0</v>
      </c>
      <c r="C27" s="13">
        <f>COUNTIFS(HR_Data!$B$2:$B$561,$A27,HR_Data!$O$2:$O$561,C$24)</f>
        <v>1</v>
      </c>
      <c r="D27" s="13">
        <f>COUNTIFS(HR_Data!$B$2:$B$561,$A27,HR_Data!$O$2:$O$561,D$24)</f>
        <v>1</v>
      </c>
      <c r="E27" s="13">
        <f>COUNTIFS(HR_Data!$B$2:$B$561,$A27,HR_Data!$O$2:$O$561,E$24)</f>
        <v>2</v>
      </c>
      <c r="F27" s="13">
        <f>COUNTIFS(HR_Data!$B$2:$B$561,$A27,HR_Data!$O$2:$O$561,F$24)</f>
        <v>0</v>
      </c>
      <c r="G27" s="13">
        <f>COUNTIFS(HR_Data!$B$2:$B$561,$A27,HR_Data!$O$2:$O$561,G$24)</f>
        <v>14</v>
      </c>
      <c r="H27" s="13">
        <f t="shared" si="2"/>
        <v>18</v>
      </c>
    </row>
    <row r="28" spans="1:9" x14ac:dyDescent="0.25">
      <c r="A28" s="13" t="s">
        <v>60</v>
      </c>
      <c r="B28" s="13">
        <f>COUNTIFS(HR_Data!$B$2:$B$561,$A28,HR_Data!$O$2:$O$561,B$24)</f>
        <v>0</v>
      </c>
      <c r="C28" s="13">
        <f>COUNTIFS(HR_Data!$B$2:$B$561,$A28,HR_Data!$O$2:$O$561,C$24)</f>
        <v>1</v>
      </c>
      <c r="D28" s="13">
        <f>COUNTIFS(HR_Data!$B$2:$B$561,$A28,HR_Data!$O$2:$O$561,D$24)</f>
        <v>0</v>
      </c>
      <c r="E28" s="13">
        <f>COUNTIFS(HR_Data!$B$2:$B$561,$A28,HR_Data!$O$2:$O$561,E$24)</f>
        <v>1</v>
      </c>
      <c r="F28" s="13">
        <f>COUNTIFS(HR_Data!$B$2:$B$561,$A28,HR_Data!$O$2:$O$561,F$24)</f>
        <v>4</v>
      </c>
      <c r="G28" s="13">
        <f>COUNTIFS(HR_Data!$B$2:$B$561,$A28,HR_Data!$O$2:$O$561,G$24)</f>
        <v>4</v>
      </c>
      <c r="H28" s="13">
        <f t="shared" si="2"/>
        <v>10</v>
      </c>
    </row>
    <row r="29" spans="1:9" x14ac:dyDescent="0.25">
      <c r="A29" s="13" t="s">
        <v>61</v>
      </c>
      <c r="B29" s="13">
        <f>COUNTIFS(HR_Data!$B$2:$B$561,$A29,HR_Data!$O$2:$O$561,B$24)</f>
        <v>0</v>
      </c>
      <c r="C29" s="13">
        <f>COUNTIFS(HR_Data!$B$2:$B$561,$A29,HR_Data!$O$2:$O$561,C$24)</f>
        <v>0</v>
      </c>
      <c r="D29" s="13">
        <f>COUNTIFS(HR_Data!$B$2:$B$561,$A29,HR_Data!$O$2:$O$561,D$24)</f>
        <v>1</v>
      </c>
      <c r="E29" s="13">
        <f>COUNTIFS(HR_Data!$B$2:$B$561,$A29,HR_Data!$O$2:$O$561,E$24)</f>
        <v>2</v>
      </c>
      <c r="F29" s="13">
        <f>COUNTIFS(HR_Data!$B$2:$B$561,$A29,HR_Data!$O$2:$O$561,F$24)</f>
        <v>1</v>
      </c>
      <c r="G29" s="13">
        <f>COUNTIFS(HR_Data!$B$2:$B$561,$A29,HR_Data!$O$2:$O$561,G$24)</f>
        <v>3</v>
      </c>
      <c r="H29" s="13">
        <f t="shared" si="2"/>
        <v>7</v>
      </c>
    </row>
    <row r="30" spans="1:9" x14ac:dyDescent="0.25">
      <c r="A30" s="13" t="s">
        <v>62</v>
      </c>
      <c r="B30" s="13">
        <f>COUNTIFS(HR_Data!$B$2:$B$561,$A30,HR_Data!$O$2:$O$561,B$24)</f>
        <v>1</v>
      </c>
      <c r="C30" s="13">
        <f>COUNTIFS(HR_Data!$B$2:$B$561,$A30,HR_Data!$O$2:$O$561,C$24)</f>
        <v>2</v>
      </c>
      <c r="D30" s="13">
        <f>COUNTIFS(HR_Data!$B$2:$B$561,$A30,HR_Data!$O$2:$O$561,D$24)</f>
        <v>2</v>
      </c>
      <c r="E30" s="13">
        <f>COUNTIFS(HR_Data!$B$2:$B$561,$A30,HR_Data!$O$2:$O$561,E$24)</f>
        <v>3</v>
      </c>
      <c r="F30" s="13">
        <f>COUNTIFS(HR_Data!$B$2:$B$561,$A30,HR_Data!$O$2:$O$561,F$24)</f>
        <v>2</v>
      </c>
      <c r="G30" s="13">
        <f>COUNTIFS(HR_Data!$B$2:$B$561,$A30,HR_Data!$O$2:$O$561,G$24)</f>
        <v>13</v>
      </c>
      <c r="H30" s="13">
        <f t="shared" si="2"/>
        <v>23</v>
      </c>
    </row>
    <row r="31" spans="1:9" x14ac:dyDescent="0.25">
      <c r="A31" s="13" t="s">
        <v>63</v>
      </c>
      <c r="B31" s="13">
        <f>COUNTIFS(HR_Data!$B$2:$B$561,$A31,HR_Data!$O$2:$O$561,B$24)</f>
        <v>1</v>
      </c>
      <c r="C31" s="13">
        <f>COUNTIFS(HR_Data!$B$2:$B$561,$A31,HR_Data!$O$2:$O$561,C$24)</f>
        <v>1</v>
      </c>
      <c r="D31" s="13">
        <f>COUNTIFS(HR_Data!$B$2:$B$561,$A31,HR_Data!$O$2:$O$561,D$24)</f>
        <v>3</v>
      </c>
      <c r="E31" s="13">
        <f>COUNTIFS(HR_Data!$B$2:$B$561,$A31,HR_Data!$O$2:$O$561,E$24)</f>
        <v>5</v>
      </c>
      <c r="F31" s="13">
        <f>COUNTIFS(HR_Data!$B$2:$B$561,$A31,HR_Data!$O$2:$O$561,F$24)</f>
        <v>2</v>
      </c>
      <c r="G31" s="13">
        <f>COUNTIFS(HR_Data!$B$2:$B$561,$A31,HR_Data!$O$2:$O$561,G$24)</f>
        <v>3</v>
      </c>
      <c r="H31" s="13">
        <f t="shared" si="2"/>
        <v>15</v>
      </c>
    </row>
    <row r="32" spans="1:9" x14ac:dyDescent="0.25">
      <c r="A32" s="17" t="s">
        <v>64</v>
      </c>
      <c r="B32" s="17">
        <f t="shared" ref="B32:H32" si="3">SUM(B25:B31)</f>
        <v>5</v>
      </c>
      <c r="C32" s="17">
        <f t="shared" si="3"/>
        <v>7</v>
      </c>
      <c r="D32" s="17">
        <f t="shared" si="3"/>
        <v>10</v>
      </c>
      <c r="E32" s="17">
        <f t="shared" si="3"/>
        <v>27</v>
      </c>
      <c r="F32" s="17">
        <f t="shared" si="3"/>
        <v>31</v>
      </c>
      <c r="G32" s="17">
        <f t="shared" si="3"/>
        <v>55</v>
      </c>
      <c r="H32" s="17">
        <f t="shared" si="3"/>
        <v>135</v>
      </c>
    </row>
    <row r="35" spans="1:7" ht="15.75" x14ac:dyDescent="0.25">
      <c r="A35" s="12" t="s">
        <v>66</v>
      </c>
    </row>
    <row r="36" spans="1:7" x14ac:dyDescent="0.25">
      <c r="A36" s="8" t="s">
        <v>49</v>
      </c>
      <c r="B36" s="8">
        <v>2021</v>
      </c>
      <c r="C36" s="8">
        <v>2022</v>
      </c>
      <c r="D36" s="8">
        <v>2023</v>
      </c>
      <c r="E36" s="8">
        <v>2024</v>
      </c>
      <c r="F36" s="8">
        <v>2025</v>
      </c>
      <c r="G36" s="8">
        <v>2026</v>
      </c>
    </row>
    <row r="37" spans="1:7" x14ac:dyDescent="0.25">
      <c r="A37" s="13" t="s">
        <v>57</v>
      </c>
      <c r="B37" s="14">
        <f>IFERROR(B25/(COUNTIFS(HR_Data!$B$2:$B$561,$A37,HR_Data!$F$2:$F$561,"&lt;"&amp;DATE(B$36,1,1))-COUNTIFS(HR_Data!$B$2:$B$561,$A37,HR_Data!$G$2:$G$561,"&lt;"&amp;DATE(B$36,1,1))),0)</f>
        <v>5.5555555555555552E-2</v>
      </c>
      <c r="C37" s="14">
        <f>IFERROR(C25/(COUNTIFS(HR_Data!$B$2:$B$561,$A37,HR_Data!$F$2:$F$561,"&lt;"&amp;DATE(C$36,1,1))-COUNTIFS(HR_Data!$B$2:$B$561,$A37,HR_Data!$G$2:$G$561,"&lt;"&amp;DATE(C$36,1,1))),0)</f>
        <v>2.2222222222222223E-2</v>
      </c>
      <c r="D37" s="14">
        <f>IFERROR(D25/(COUNTIFS(HR_Data!$B$2:$B$561,$A37,HR_Data!$F$2:$F$561,"&lt;"&amp;DATE(D$36,1,1))-COUNTIFS(HR_Data!$B$2:$B$561,$A37,HR_Data!$G$2:$G$561,"&lt;"&amp;DATE(D$36,1,1))),0)</f>
        <v>5.1724137931034482E-2</v>
      </c>
      <c r="E37" s="14">
        <f>IFERROR(E25/(COUNTIFS(HR_Data!$B$2:$B$561,$A37,HR_Data!$F$2:$F$561,"&lt;"&amp;DATE(E$36,1,1))-COUNTIFS(HR_Data!$B$2:$B$561,$A37,HR_Data!$G$2:$G$561,"&lt;"&amp;DATE(E$36,1,1))),0)</f>
        <v>0.13043478260869565</v>
      </c>
      <c r="F37" s="14">
        <f>IFERROR(F25/(COUNTIFS(HR_Data!$B$2:$B$561,$A37,HR_Data!$F$2:$F$561,"&lt;"&amp;DATE(F$36,1,1))-COUNTIFS(HR_Data!$B$2:$B$561,$A37,HR_Data!$G$2:$G$561,"&lt;"&amp;DATE(F$36,1,1))),0)</f>
        <v>0.21917808219178081</v>
      </c>
      <c r="G37" s="14">
        <f>IFERROR(G25/(COUNTIFS(HR_Data!$B$2:$B$561,$A37,HR_Data!$F$2:$F$561,"&lt;"&amp;DATE(G$36,1,1))-COUNTIFS(HR_Data!$B$2:$B$561,$A37,HR_Data!$G$2:$G$561,"&lt;"&amp;DATE(G$36,1,1))),0)</f>
        <v>0.12</v>
      </c>
    </row>
    <row r="38" spans="1:7" x14ac:dyDescent="0.25">
      <c r="A38" s="13" t="s">
        <v>58</v>
      </c>
      <c r="B38" s="14">
        <f>IFERROR(B26/(COUNTIFS(HR_Data!$B$2:$B$561,$A38,HR_Data!$F$2:$F$561,"&lt;"&amp;DATE(B$36,1,1))-COUNTIFS(HR_Data!$B$2:$B$561,$A38,HR_Data!$G$2:$G$561,"&lt;"&amp;DATE(B$36,1,1))),0)</f>
        <v>3.2258064516129031E-2</v>
      </c>
      <c r="C38" s="14">
        <f>IFERROR(C26/(COUNTIFS(HR_Data!$B$2:$B$561,$A38,HR_Data!$F$2:$F$561,"&lt;"&amp;DATE(C$36,1,1))-COUNTIFS(HR_Data!$B$2:$B$561,$A38,HR_Data!$G$2:$G$561,"&lt;"&amp;DATE(C$36,1,1))),0)</f>
        <v>2.3809523809523808E-2</v>
      </c>
      <c r="D38" s="14">
        <f>IFERROR(D26/(COUNTIFS(HR_Data!$B$2:$B$561,$A38,HR_Data!$F$2:$F$561,"&lt;"&amp;DATE(D$36,1,1))-COUNTIFS(HR_Data!$B$2:$B$561,$A38,HR_Data!$G$2:$G$561,"&lt;"&amp;DATE(D$36,1,1))),0)</f>
        <v>0</v>
      </c>
      <c r="E38" s="14">
        <f>IFERROR(E26/(COUNTIFS(HR_Data!$B$2:$B$561,$A38,HR_Data!$F$2:$F$561,"&lt;"&amp;DATE(E$36,1,1))-COUNTIFS(HR_Data!$B$2:$B$561,$A38,HR_Data!$G$2:$G$561,"&lt;"&amp;DATE(E$36,1,1))),0)</f>
        <v>7.2463768115942032E-2</v>
      </c>
      <c r="F38" s="14">
        <f>IFERROR(F26/(COUNTIFS(HR_Data!$B$2:$B$561,$A38,HR_Data!$F$2:$F$561,"&lt;"&amp;DATE(F$36,1,1))-COUNTIFS(HR_Data!$B$2:$B$561,$A38,HR_Data!$G$2:$G$561,"&lt;"&amp;DATE(F$36,1,1))),0)</f>
        <v>0.08</v>
      </c>
      <c r="G38" s="14">
        <f>IFERROR(G26/(COUNTIFS(HR_Data!$B$2:$B$561,$A38,HR_Data!$F$2:$F$561,"&lt;"&amp;DATE(G$36,1,1))-COUNTIFS(HR_Data!$B$2:$B$561,$A38,HR_Data!$G$2:$G$561,"&lt;"&amp;DATE(G$36,1,1))),0)</f>
        <v>0.11538461538461539</v>
      </c>
    </row>
    <row r="39" spans="1:7" x14ac:dyDescent="0.25">
      <c r="A39" s="13" t="s">
        <v>59</v>
      </c>
      <c r="B39" s="14">
        <f>IFERROR(B27/(COUNTIFS(HR_Data!$B$2:$B$561,$A39,HR_Data!$F$2:$F$561,"&lt;"&amp;DATE(B$36,1,1))-COUNTIFS(HR_Data!$B$2:$B$561,$A39,HR_Data!$G$2:$G$561,"&lt;"&amp;DATE(B$36,1,1))),0)</f>
        <v>0</v>
      </c>
      <c r="C39" s="14">
        <f>IFERROR(C27/(COUNTIFS(HR_Data!$B$2:$B$561,$A39,HR_Data!$F$2:$F$561,"&lt;"&amp;DATE(C$36,1,1))-COUNTIFS(HR_Data!$B$2:$B$561,$A39,HR_Data!$G$2:$G$561,"&lt;"&amp;DATE(C$36,1,1))),0)</f>
        <v>2.5000000000000001E-2</v>
      </c>
      <c r="D39" s="14">
        <f>IFERROR(D27/(COUNTIFS(HR_Data!$B$2:$B$561,$A39,HR_Data!$F$2:$F$561,"&lt;"&amp;DATE(D$36,1,1))-COUNTIFS(HR_Data!$B$2:$B$561,$A39,HR_Data!$G$2:$G$561,"&lt;"&amp;DATE(D$36,1,1))),0)</f>
        <v>2.1739130434782608E-2</v>
      </c>
      <c r="E39" s="14">
        <f>IFERROR(E27/(COUNTIFS(HR_Data!$B$2:$B$561,$A39,HR_Data!$F$2:$F$561,"&lt;"&amp;DATE(E$36,1,1))-COUNTIFS(HR_Data!$B$2:$B$561,$A39,HR_Data!$G$2:$G$561,"&lt;"&amp;DATE(E$36,1,1))),0)</f>
        <v>3.9215686274509803E-2</v>
      </c>
      <c r="F39" s="14">
        <f>IFERROR(F27/(COUNTIFS(HR_Data!$B$2:$B$561,$A39,HR_Data!$F$2:$F$561,"&lt;"&amp;DATE(F$36,1,1))-COUNTIFS(HR_Data!$B$2:$B$561,$A39,HR_Data!$G$2:$G$561,"&lt;"&amp;DATE(F$36,1,1))),0)</f>
        <v>0</v>
      </c>
      <c r="G39" s="14">
        <f>IFERROR(G27/(COUNTIFS(HR_Data!$B$2:$B$561,$A39,HR_Data!$F$2:$F$561,"&lt;"&amp;DATE(G$36,1,1))-COUNTIFS(HR_Data!$B$2:$B$561,$A39,HR_Data!$G$2:$G$561,"&lt;"&amp;DATE(G$36,1,1))),0)</f>
        <v>0.18666666666666668</v>
      </c>
    </row>
    <row r="40" spans="1:7" x14ac:dyDescent="0.25">
      <c r="A40" s="13" t="s">
        <v>60</v>
      </c>
      <c r="B40" s="14">
        <f>IFERROR(B28/(COUNTIFS(HR_Data!$B$2:$B$561,$A40,HR_Data!$F$2:$F$561,"&lt;"&amp;DATE(B$36,1,1))-COUNTIFS(HR_Data!$B$2:$B$561,$A40,HR_Data!$G$2:$G$561,"&lt;"&amp;DATE(B$36,1,1))),0)</f>
        <v>0</v>
      </c>
      <c r="C40" s="14">
        <f>IFERROR(C28/(COUNTIFS(HR_Data!$B$2:$B$561,$A40,HR_Data!$F$2:$F$561,"&lt;"&amp;DATE(C$36,1,1))-COUNTIFS(HR_Data!$B$2:$B$561,$A40,HR_Data!$G$2:$G$561,"&lt;"&amp;DATE(C$36,1,1))),0)</f>
        <v>6.25E-2</v>
      </c>
      <c r="D40" s="14">
        <f>IFERROR(D28/(COUNTIFS(HR_Data!$B$2:$B$561,$A40,HR_Data!$F$2:$F$561,"&lt;"&amp;DATE(D$36,1,1))-COUNTIFS(HR_Data!$B$2:$B$561,$A40,HR_Data!$G$2:$G$561,"&lt;"&amp;DATE(D$36,1,1))),0)</f>
        <v>0</v>
      </c>
      <c r="E40" s="14">
        <f>IFERROR(E28/(COUNTIFS(HR_Data!$B$2:$B$561,$A40,HR_Data!$F$2:$F$561,"&lt;"&amp;DATE(E$36,1,1))-COUNTIFS(HR_Data!$B$2:$B$561,$A40,HR_Data!$G$2:$G$561,"&lt;"&amp;DATE(E$36,1,1))),0)</f>
        <v>5.5555555555555552E-2</v>
      </c>
      <c r="F40" s="14">
        <f>IFERROR(F28/(COUNTIFS(HR_Data!$B$2:$B$561,$A40,HR_Data!$F$2:$F$561,"&lt;"&amp;DATE(F$36,1,1))-COUNTIFS(HR_Data!$B$2:$B$561,$A40,HR_Data!$G$2:$G$561,"&lt;"&amp;DATE(F$36,1,1))),0)</f>
        <v>0.19047619047619047</v>
      </c>
      <c r="G40" s="14">
        <f>IFERROR(G28/(COUNTIFS(HR_Data!$B$2:$B$561,$A40,HR_Data!$F$2:$F$561,"&lt;"&amp;DATE(G$36,1,1))-COUNTIFS(HR_Data!$B$2:$B$561,$A40,HR_Data!$G$2:$G$561,"&lt;"&amp;DATE(G$36,1,1))),0)</f>
        <v>0.16666666666666666</v>
      </c>
    </row>
    <row r="41" spans="1:7" x14ac:dyDescent="0.25">
      <c r="A41" s="13" t="s">
        <v>61</v>
      </c>
      <c r="B41" s="14">
        <f>IFERROR(B29/(COUNTIFS(HR_Data!$B$2:$B$561,$A41,HR_Data!$F$2:$F$561,"&lt;"&amp;DATE(B$36,1,1))-COUNTIFS(HR_Data!$B$2:$B$561,$A41,HR_Data!$G$2:$G$561,"&lt;"&amp;DATE(B$36,1,1))),0)</f>
        <v>0</v>
      </c>
      <c r="C41" s="14">
        <f>IFERROR(C29/(COUNTIFS(HR_Data!$B$2:$B$561,$A41,HR_Data!$F$2:$F$561,"&lt;"&amp;DATE(C$36,1,1))-COUNTIFS(HR_Data!$B$2:$B$561,$A41,HR_Data!$G$2:$G$561,"&lt;"&amp;DATE(C$36,1,1))),0)</f>
        <v>0</v>
      </c>
      <c r="D41" s="14">
        <f>IFERROR(D29/(COUNTIFS(HR_Data!$B$2:$B$561,$A41,HR_Data!$F$2:$F$561,"&lt;"&amp;DATE(D$36,1,1))-COUNTIFS(HR_Data!$B$2:$B$561,$A41,HR_Data!$G$2:$G$561,"&lt;"&amp;DATE(D$36,1,1))),0)</f>
        <v>3.125E-2</v>
      </c>
      <c r="E41" s="14">
        <f>IFERROR(E29/(COUNTIFS(HR_Data!$B$2:$B$561,$A41,HR_Data!$F$2:$F$561,"&lt;"&amp;DATE(E$36,1,1))-COUNTIFS(HR_Data!$B$2:$B$561,$A41,HR_Data!$G$2:$G$561,"&lt;"&amp;DATE(E$36,1,1))),0)</f>
        <v>5.128205128205128E-2</v>
      </c>
      <c r="F41" s="14">
        <f>IFERROR(F29/(COUNTIFS(HR_Data!$B$2:$B$561,$A41,HR_Data!$F$2:$F$561,"&lt;"&amp;DATE(F$36,1,1))-COUNTIFS(HR_Data!$B$2:$B$561,$A41,HR_Data!$G$2:$G$561,"&lt;"&amp;DATE(F$36,1,1))),0)</f>
        <v>2.5000000000000001E-2</v>
      </c>
      <c r="G41" s="14">
        <f>IFERROR(G29/(COUNTIFS(HR_Data!$B$2:$B$561,$A41,HR_Data!$F$2:$F$561,"&lt;"&amp;DATE(G$36,1,1))-COUNTIFS(HR_Data!$B$2:$B$561,$A41,HR_Data!$G$2:$G$561,"&lt;"&amp;DATE(G$36,1,1))),0)</f>
        <v>0.06</v>
      </c>
    </row>
    <row r="42" spans="1:7" x14ac:dyDescent="0.25">
      <c r="A42" s="13" t="s">
        <v>62</v>
      </c>
      <c r="B42" s="14">
        <f>IFERROR(B30/(COUNTIFS(HR_Data!$B$2:$B$561,$A42,HR_Data!$F$2:$F$561,"&lt;"&amp;DATE(B$36,1,1))-COUNTIFS(HR_Data!$B$2:$B$561,$A42,HR_Data!$G$2:$G$561,"&lt;"&amp;DATE(B$36,1,1))),0)</f>
        <v>2.7027027027027029E-2</v>
      </c>
      <c r="C42" s="14">
        <f>IFERROR(C30/(COUNTIFS(HR_Data!$B$2:$B$561,$A42,HR_Data!$F$2:$F$561,"&lt;"&amp;DATE(C$36,1,1))-COUNTIFS(HR_Data!$B$2:$B$561,$A42,HR_Data!$G$2:$G$561,"&lt;"&amp;DATE(C$36,1,1))),0)</f>
        <v>4.2553191489361701E-2</v>
      </c>
      <c r="D42" s="14">
        <f>IFERROR(D30/(COUNTIFS(HR_Data!$B$2:$B$561,$A42,HR_Data!$F$2:$F$561,"&lt;"&amp;DATE(D$36,1,1))-COUNTIFS(HR_Data!$B$2:$B$561,$A42,HR_Data!$G$2:$G$561,"&lt;"&amp;DATE(D$36,1,1))),0)</f>
        <v>3.7037037037037035E-2</v>
      </c>
      <c r="E42" s="14">
        <f>IFERROR(E30/(COUNTIFS(HR_Data!$B$2:$B$561,$A42,HR_Data!$F$2:$F$561,"&lt;"&amp;DATE(E$36,1,1))-COUNTIFS(HR_Data!$B$2:$B$561,$A42,HR_Data!$G$2:$G$561,"&lt;"&amp;DATE(E$36,1,1))),0)</f>
        <v>4.1666666666666664E-2</v>
      </c>
      <c r="F42" s="14">
        <f>IFERROR(F30/(COUNTIFS(HR_Data!$B$2:$B$561,$A42,HR_Data!$F$2:$F$561,"&lt;"&amp;DATE(F$36,1,1))-COUNTIFS(HR_Data!$B$2:$B$561,$A42,HR_Data!$G$2:$G$561,"&lt;"&amp;DATE(F$36,1,1))),0)</f>
        <v>2.4691358024691357E-2</v>
      </c>
      <c r="G42" s="14">
        <f>IFERROR(G30/(COUNTIFS(HR_Data!$B$2:$B$561,$A42,HR_Data!$F$2:$F$561,"&lt;"&amp;DATE(G$36,1,1))-COUNTIFS(HR_Data!$B$2:$B$561,$A42,HR_Data!$G$2:$G$561,"&lt;"&amp;DATE(G$36,1,1))),0)</f>
        <v>0.14606741573033707</v>
      </c>
    </row>
    <row r="43" spans="1:7" x14ac:dyDescent="0.25">
      <c r="A43" s="13" t="s">
        <v>63</v>
      </c>
      <c r="B43" s="14">
        <f>IFERROR(B31/(COUNTIFS(HR_Data!$B$2:$B$561,$A43,HR_Data!$F$2:$F$561,"&lt;"&amp;DATE(B$36,1,1))-COUNTIFS(HR_Data!$B$2:$B$561,$A43,HR_Data!$G$2:$G$561,"&lt;"&amp;DATE(B$36,1,1))),0)</f>
        <v>6.25E-2</v>
      </c>
      <c r="C43" s="14">
        <f>IFERROR(C31/(COUNTIFS(HR_Data!$B$2:$B$561,$A43,HR_Data!$F$2:$F$561,"&lt;"&amp;DATE(C$36,1,1))-COUNTIFS(HR_Data!$B$2:$B$561,$A43,HR_Data!$G$2:$G$561,"&lt;"&amp;DATE(C$36,1,1))),0)</f>
        <v>4.7619047619047616E-2</v>
      </c>
      <c r="D43" s="14">
        <f>IFERROR(D31/(COUNTIFS(HR_Data!$B$2:$B$561,$A43,HR_Data!$F$2:$F$561,"&lt;"&amp;DATE(D$36,1,1))-COUNTIFS(HR_Data!$B$2:$B$561,$A43,HR_Data!$G$2:$G$561,"&lt;"&amp;DATE(D$36,1,1))),0)</f>
        <v>0.1111111111111111</v>
      </c>
      <c r="E43" s="14">
        <f>IFERROR(E31/(COUNTIFS(HR_Data!$B$2:$B$561,$A43,HR_Data!$F$2:$F$561,"&lt;"&amp;DATE(E$36,1,1))-COUNTIFS(HR_Data!$B$2:$B$561,$A43,HR_Data!$G$2:$G$561,"&lt;"&amp;DATE(E$36,1,1))),0)</f>
        <v>0.14705882352941177</v>
      </c>
      <c r="F43" s="14">
        <f>IFERROR(F31/(COUNTIFS(HR_Data!$B$2:$B$561,$A43,HR_Data!$F$2:$F$561,"&lt;"&amp;DATE(F$36,1,1))-COUNTIFS(HR_Data!$B$2:$B$561,$A43,HR_Data!$G$2:$G$561,"&lt;"&amp;DATE(F$36,1,1))),0)</f>
        <v>5.4054054054054057E-2</v>
      </c>
      <c r="G43" s="14">
        <f>IFERROR(G31/(COUNTIFS(HR_Data!$B$2:$B$561,$A43,HR_Data!$F$2:$F$561,"&lt;"&amp;DATE(G$36,1,1))-COUNTIFS(HR_Data!$B$2:$B$561,$A43,HR_Data!$G$2:$G$561,"&lt;"&amp;DATE(G$36,1,1))),0)</f>
        <v>7.4999999999999997E-2</v>
      </c>
    </row>
    <row r="46" spans="1:7" ht="15.75" x14ac:dyDescent="0.25">
      <c r="A46" s="12" t="s">
        <v>67</v>
      </c>
    </row>
    <row r="47" spans="1:7" x14ac:dyDescent="0.25">
      <c r="A47" s="8" t="s">
        <v>68</v>
      </c>
      <c r="B47" s="8" t="s">
        <v>69</v>
      </c>
      <c r="C47" s="8" t="s">
        <v>44</v>
      </c>
      <c r="D47" s="8" t="s">
        <v>52</v>
      </c>
    </row>
    <row r="48" spans="1:7" x14ac:dyDescent="0.25">
      <c r="A48" s="13" t="s">
        <v>70</v>
      </c>
      <c r="B48" s="13">
        <f>COUNTIFS(HR_Data!$L$2:$L$561,A48)</f>
        <v>189</v>
      </c>
      <c r="C48" s="13">
        <f>COUNTIFS(HR_Data!$L$2:$L$561,A48,HR_Data!$H$2:$H$561,"Left")</f>
        <v>70</v>
      </c>
      <c r="D48" s="14">
        <f>C48/B48</f>
        <v>0.37037037037037035</v>
      </c>
    </row>
    <row r="49" spans="1:4" x14ac:dyDescent="0.25">
      <c r="A49" s="13" t="s">
        <v>71</v>
      </c>
      <c r="B49" s="13">
        <f>COUNTIFS(HR_Data!$L$2:$L$561,A49)</f>
        <v>371</v>
      </c>
      <c r="C49" s="13">
        <f>COUNTIFS(HR_Data!$L$2:$L$561,A49,HR_Data!$H$2:$H$561,"Left")</f>
        <v>70</v>
      </c>
      <c r="D49" s="14">
        <f>C49/B49</f>
        <v>0.18867924528301888</v>
      </c>
    </row>
    <row r="52" spans="1:4" x14ac:dyDescent="0.25">
      <c r="A52" s="19" t="s">
        <v>72</v>
      </c>
      <c r="B52" s="19" t="s">
        <v>69</v>
      </c>
      <c r="C52" s="19" t="s">
        <v>44</v>
      </c>
      <c r="D52" s="19" t="s">
        <v>52</v>
      </c>
    </row>
    <row r="53" spans="1:4" x14ac:dyDescent="0.25">
      <c r="A53" s="13">
        <v>1</v>
      </c>
      <c r="B53" s="13">
        <f>COUNTIFS(HR_Data!$K$2:$K$561,A53)</f>
        <v>39</v>
      </c>
      <c r="C53" s="13">
        <f>COUNTIFS(HR_Data!$K$2:$K$561,A53,HR_Data!$H$2:$H$561,"Left")</f>
        <v>14</v>
      </c>
      <c r="D53" s="14">
        <f>IFERROR(C53/B53,0)</f>
        <v>0.35897435897435898</v>
      </c>
    </row>
    <row r="54" spans="1:4" x14ac:dyDescent="0.25">
      <c r="A54" s="13">
        <v>2</v>
      </c>
      <c r="B54" s="13">
        <f>COUNTIFS(HR_Data!$K$2:$K$561,A54)</f>
        <v>89</v>
      </c>
      <c r="C54" s="13">
        <f>COUNTIFS(HR_Data!$K$2:$K$561,A54,HR_Data!$H$2:$H$561,"Left")</f>
        <v>41</v>
      </c>
      <c r="D54" s="14">
        <f>IFERROR(C54/B54,0)</f>
        <v>0.4606741573033708</v>
      </c>
    </row>
    <row r="55" spans="1:4" x14ac:dyDescent="0.25">
      <c r="A55" s="13">
        <v>3</v>
      </c>
      <c r="B55" s="13">
        <f>COUNTIFS(HR_Data!$K$2:$K$561,A55)</f>
        <v>191</v>
      </c>
      <c r="C55" s="13">
        <f>COUNTIFS(HR_Data!$K$2:$K$561,A55,HR_Data!$H$2:$H$561,"Left")</f>
        <v>45</v>
      </c>
      <c r="D55" s="14">
        <f>IFERROR(C55/B55,0)</f>
        <v>0.2356020942408377</v>
      </c>
    </row>
    <row r="56" spans="1:4" x14ac:dyDescent="0.25">
      <c r="A56" s="13">
        <v>4</v>
      </c>
      <c r="B56" s="13">
        <f>COUNTIFS(HR_Data!$K$2:$K$561,A56)</f>
        <v>153</v>
      </c>
      <c r="C56" s="13">
        <f>COUNTIFS(HR_Data!$K$2:$K$561,A56,HR_Data!$H$2:$H$561,"Left")</f>
        <v>24</v>
      </c>
      <c r="D56" s="14">
        <f>IFERROR(C56/B56,0)</f>
        <v>0.15686274509803921</v>
      </c>
    </row>
    <row r="57" spans="1:4" x14ac:dyDescent="0.25">
      <c r="A57" s="13">
        <v>5</v>
      </c>
      <c r="B57" s="13">
        <f>COUNTIFS(HR_Data!$K$2:$K$561,A57)</f>
        <v>88</v>
      </c>
      <c r="C57" s="13">
        <f>COUNTIFS(HR_Data!$K$2:$K$561,A57,HR_Data!$H$2:$H$561,"Left")</f>
        <v>16</v>
      </c>
      <c r="D57" s="14">
        <f>IFERROR(C57/B57,0)</f>
        <v>0.18181818181818182</v>
      </c>
    </row>
    <row r="60" spans="1:4" x14ac:dyDescent="0.25">
      <c r="A60" s="19" t="s">
        <v>73</v>
      </c>
      <c r="B60" s="19" t="s">
        <v>69</v>
      </c>
      <c r="C60" s="19" t="s">
        <v>44</v>
      </c>
      <c r="D60" s="19" t="s">
        <v>52</v>
      </c>
    </row>
    <row r="61" spans="1:4" x14ac:dyDescent="0.25">
      <c r="A61" s="13" t="s">
        <v>74</v>
      </c>
      <c r="B61" s="13">
        <f>COUNTIFS(HR_Data!$P$2:$P$561,A61)</f>
        <v>0</v>
      </c>
      <c r="C61" s="13">
        <f>COUNTIFS(HR_Data!$P$2:$P$561,A61,HR_Data!$H$2:$H$561,"Left")</f>
        <v>0</v>
      </c>
      <c r="D61" s="14">
        <f>IFERROR(C61/B61,0)</f>
        <v>0</v>
      </c>
    </row>
    <row r="62" spans="1:4" x14ac:dyDescent="0.25">
      <c r="A62" s="13" t="s">
        <v>75</v>
      </c>
      <c r="B62" s="13">
        <f>COUNTIFS(HR_Data!$P$2:$P$561,A62)</f>
        <v>271</v>
      </c>
      <c r="C62" s="13">
        <f>COUNTIFS(HR_Data!$P$2:$P$561,A62,HR_Data!$H$2:$H$561,"Left")</f>
        <v>70</v>
      </c>
      <c r="D62" s="14">
        <f>IFERROR(C62/B62,0)</f>
        <v>0.25830258302583026</v>
      </c>
    </row>
    <row r="63" spans="1:4" x14ac:dyDescent="0.25">
      <c r="A63" s="13" t="s">
        <v>76</v>
      </c>
      <c r="B63" s="13">
        <f>COUNTIFS(HR_Data!$P$2:$P$561,A63)</f>
        <v>79</v>
      </c>
      <c r="C63" s="13">
        <f>COUNTIFS(HR_Data!$P$2:$P$561,A63,HR_Data!$H$2:$H$561,"Left")</f>
        <v>19</v>
      </c>
      <c r="D63" s="14">
        <f>IFERROR(C63/B63,0)</f>
        <v>0.24050632911392406</v>
      </c>
    </row>
    <row r="67" spans="1:3" x14ac:dyDescent="0.25">
      <c r="A67" s="19" t="s">
        <v>77</v>
      </c>
      <c r="B67" s="19" t="s">
        <v>44</v>
      </c>
      <c r="C67" s="19" t="s">
        <v>78</v>
      </c>
    </row>
    <row r="68" spans="1:3" x14ac:dyDescent="0.25">
      <c r="A68" s="13" t="s">
        <v>79</v>
      </c>
      <c r="B68" s="13">
        <f>COUNTIFS(HR_Data!$M$2:$M$561,A68)</f>
        <v>22</v>
      </c>
      <c r="C68" s="14">
        <f t="shared" ref="C68:C74" si="4">B68/$B$6</f>
        <v>0.15714285714285714</v>
      </c>
    </row>
    <row r="69" spans="1:3" x14ac:dyDescent="0.25">
      <c r="A69" s="13" t="s">
        <v>80</v>
      </c>
      <c r="B69" s="13">
        <f>COUNTIFS(HR_Data!$M$2:$M$561,A69)</f>
        <v>34</v>
      </c>
      <c r="C69" s="14">
        <f t="shared" si="4"/>
        <v>0.24285714285714285</v>
      </c>
    </row>
    <row r="70" spans="1:3" x14ac:dyDescent="0.25">
      <c r="A70" s="13" t="s">
        <v>81</v>
      </c>
      <c r="B70" s="13">
        <f>COUNTIFS(HR_Data!$M$2:$M$561,A70)</f>
        <v>36</v>
      </c>
      <c r="C70" s="14">
        <f t="shared" si="4"/>
        <v>0.25714285714285712</v>
      </c>
    </row>
    <row r="71" spans="1:3" x14ac:dyDescent="0.25">
      <c r="A71" s="13" t="s">
        <v>82</v>
      </c>
      <c r="B71" s="13">
        <f>COUNTIFS(HR_Data!$M$2:$M$561,A71)</f>
        <v>17</v>
      </c>
      <c r="C71" s="14">
        <f t="shared" si="4"/>
        <v>0.12142857142857143</v>
      </c>
    </row>
    <row r="72" spans="1:3" x14ac:dyDescent="0.25">
      <c r="A72" s="13" t="s">
        <v>83</v>
      </c>
      <c r="B72" s="13">
        <f>COUNTIFS(HR_Data!$M$2:$M$561,A72)</f>
        <v>11</v>
      </c>
      <c r="C72" s="14">
        <f t="shared" si="4"/>
        <v>7.857142857142857E-2</v>
      </c>
    </row>
    <row r="73" spans="1:3" x14ac:dyDescent="0.25">
      <c r="A73" s="13" t="s">
        <v>84</v>
      </c>
      <c r="B73" s="13">
        <f>COUNTIFS(HR_Data!$M$2:$M$561,A73)</f>
        <v>12</v>
      </c>
      <c r="C73" s="14">
        <f t="shared" si="4"/>
        <v>8.5714285714285715E-2</v>
      </c>
    </row>
    <row r="74" spans="1:3" x14ac:dyDescent="0.25">
      <c r="A74" s="13" t="s">
        <v>85</v>
      </c>
      <c r="B74" s="13">
        <f>COUNTIFS(HR_Data!$M$2:$M$561,A74)</f>
        <v>8</v>
      </c>
      <c r="C74" s="14">
        <f t="shared" si="4"/>
        <v>5.7142857142857141E-2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61"/>
  <sheetViews>
    <sheetView tabSelected="1" topLeftCell="B1" zoomScaleNormal="100" workbookViewId="0">
      <pane ySplit="1" topLeftCell="A191" activePane="bottomLeft" state="frozen"/>
      <selection pane="bottomLeft" activeCell="C364" sqref="C364"/>
    </sheetView>
  </sheetViews>
  <sheetFormatPr defaultColWidth="8.7109375" defaultRowHeight="15" x14ac:dyDescent="0.25"/>
  <cols>
    <col min="1" max="1" width="15.140625" customWidth="1"/>
    <col min="2" max="2" width="18" customWidth="1"/>
    <col min="3" max="3" width="22" customWidth="1"/>
    <col min="4" max="4" width="10.85546875" customWidth="1"/>
    <col min="5" max="5" width="17.85546875" customWidth="1"/>
    <col min="6" max="7" width="13" customWidth="1"/>
    <col min="8" max="8" width="9.5703125" customWidth="1"/>
    <col min="9" max="9" width="10" customWidth="1"/>
    <col min="10" max="10" width="22.7109375" customWidth="1"/>
    <col min="11" max="11" width="21" customWidth="1"/>
    <col min="12" max="12" width="12.5703125" customWidth="1"/>
    <col min="13" max="13" width="24" customWidth="1"/>
    <col min="14" max="14" width="16.42578125" customWidth="1"/>
    <col min="15" max="15" width="11.7109375" customWidth="1"/>
    <col min="16" max="16" width="13.42578125" customWidth="1"/>
  </cols>
  <sheetData>
    <row r="1" spans="1:16" x14ac:dyDescent="0.25">
      <c r="A1" s="22" t="s">
        <v>86</v>
      </c>
      <c r="B1" s="22" t="s">
        <v>49</v>
      </c>
      <c r="C1" s="22" t="s">
        <v>87</v>
      </c>
      <c r="D1" s="22" t="s">
        <v>88</v>
      </c>
      <c r="E1" s="22" t="s">
        <v>89</v>
      </c>
      <c r="F1" s="22" t="s">
        <v>90</v>
      </c>
      <c r="G1" s="22" t="s">
        <v>91</v>
      </c>
      <c r="H1" s="22" t="s">
        <v>92</v>
      </c>
      <c r="I1" s="22" t="s">
        <v>93</v>
      </c>
      <c r="J1" s="22" t="s">
        <v>94</v>
      </c>
      <c r="K1" s="22" t="s">
        <v>95</v>
      </c>
      <c r="L1" s="22" t="s">
        <v>68</v>
      </c>
      <c r="M1" s="22" t="s">
        <v>96</v>
      </c>
      <c r="N1" s="22" t="s">
        <v>97</v>
      </c>
      <c r="O1" s="22" t="s">
        <v>98</v>
      </c>
      <c r="P1" s="22" t="s">
        <v>99</v>
      </c>
    </row>
    <row r="2" spans="1:16" x14ac:dyDescent="0.25">
      <c r="A2" s="9" t="s">
        <v>240</v>
      </c>
      <c r="B2" s="9" t="s">
        <v>58</v>
      </c>
      <c r="C2" s="9" t="s">
        <v>128</v>
      </c>
      <c r="D2" s="9" t="s">
        <v>102</v>
      </c>
      <c r="E2" s="9">
        <v>28</v>
      </c>
      <c r="F2" s="20">
        <v>45619</v>
      </c>
      <c r="G2" s="20"/>
      <c r="H2" s="9" t="s">
        <v>51</v>
      </c>
      <c r="I2" s="21">
        <v>31400</v>
      </c>
      <c r="J2" s="9">
        <v>1</v>
      </c>
      <c r="K2" s="9">
        <v>5</v>
      </c>
      <c r="L2" s="9" t="s">
        <v>71</v>
      </c>
      <c r="M2" s="9"/>
      <c r="N2" s="9">
        <f>ROUND((IF(G2="",Analysis!$B$2,G2)-F2)/365.25,1)</f>
        <v>1.9</v>
      </c>
      <c r="O2" s="9" t="str">
        <f>IF(G2="","",YEAR(G2))</f>
        <v/>
      </c>
      <c r="P2" s="9" t="str">
        <f>IF(E2&lt;30,"&lt;30",IF(E2&lt;40,"30-39","40+"))</f>
        <v>&lt;30</v>
      </c>
    </row>
    <row r="3" spans="1:16" x14ac:dyDescent="0.25">
      <c r="A3" s="9" t="s">
        <v>586</v>
      </c>
      <c r="B3" s="9" t="s">
        <v>58</v>
      </c>
      <c r="C3" s="9" t="s">
        <v>128</v>
      </c>
      <c r="D3" s="9" t="s">
        <v>102</v>
      </c>
      <c r="E3" s="9">
        <v>50</v>
      </c>
      <c r="F3" s="20">
        <v>45292</v>
      </c>
      <c r="G3" s="20"/>
      <c r="H3" s="9" t="s">
        <v>51</v>
      </c>
      <c r="I3" s="21">
        <v>35900</v>
      </c>
      <c r="J3" s="9">
        <v>1</v>
      </c>
      <c r="K3" s="9">
        <v>5</v>
      </c>
      <c r="L3" s="9" t="s">
        <v>71</v>
      </c>
      <c r="M3" s="9"/>
      <c r="N3" s="9">
        <f>ROUND((IF(G3="",Analysis!$B$2,G3)-F3)/365.25,1)</f>
        <v>2.8</v>
      </c>
      <c r="O3" s="9" t="str">
        <f>IF(G3="","",YEAR(G3))</f>
        <v/>
      </c>
      <c r="P3" s="9" t="str">
        <f>IF(E3&lt;30,"&lt;30",IF(E3&lt;40,"30-39","40+"))</f>
        <v>40+</v>
      </c>
    </row>
    <row r="4" spans="1:16" x14ac:dyDescent="0.25">
      <c r="A4" s="9" t="s">
        <v>325</v>
      </c>
      <c r="B4" s="9" t="s">
        <v>62</v>
      </c>
      <c r="C4" s="9" t="s">
        <v>109</v>
      </c>
      <c r="D4" s="9" t="s">
        <v>110</v>
      </c>
      <c r="E4" s="9">
        <v>27</v>
      </c>
      <c r="F4" s="20">
        <v>44686</v>
      </c>
      <c r="G4" s="20"/>
      <c r="H4" s="9" t="s">
        <v>51</v>
      </c>
      <c r="I4" s="21">
        <v>38800</v>
      </c>
      <c r="J4" s="9">
        <v>1</v>
      </c>
      <c r="K4" s="9">
        <v>4</v>
      </c>
      <c r="L4" s="9" t="s">
        <v>71</v>
      </c>
      <c r="M4" s="9"/>
      <c r="N4" s="9">
        <f>ROUND((IF(G4="",Analysis!$B$2,G4)-F4)/365.25,1)</f>
        <v>4.5</v>
      </c>
      <c r="O4" s="9" t="str">
        <f>IF(G4="","",YEAR(G4))</f>
        <v/>
      </c>
      <c r="P4" s="9" t="str">
        <f>IF(E4&lt;30,"&lt;30",IF(E4&lt;40,"30-39","40+"))</f>
        <v>&lt;30</v>
      </c>
    </row>
    <row r="5" spans="1:16" x14ac:dyDescent="0.25">
      <c r="A5" s="9" t="s">
        <v>460</v>
      </c>
      <c r="B5" s="9" t="s">
        <v>57</v>
      </c>
      <c r="C5" s="9" t="s">
        <v>147</v>
      </c>
      <c r="D5" s="9" t="s">
        <v>110</v>
      </c>
      <c r="E5" s="9">
        <v>41</v>
      </c>
      <c r="F5" s="20">
        <v>44904</v>
      </c>
      <c r="G5" s="20"/>
      <c r="H5" s="9" t="s">
        <v>51</v>
      </c>
      <c r="I5" s="21">
        <v>39400</v>
      </c>
      <c r="J5" s="9">
        <v>1</v>
      </c>
      <c r="K5" s="9">
        <v>5</v>
      </c>
      <c r="L5" s="9" t="s">
        <v>70</v>
      </c>
      <c r="M5" s="9"/>
      <c r="N5" s="9">
        <f>ROUND((IF(G5="",Analysis!$B$2,G5)-F5)/365.25,1)</f>
        <v>3.9</v>
      </c>
      <c r="O5" s="9" t="str">
        <f>IF(G5="","",YEAR(G5))</f>
        <v/>
      </c>
      <c r="P5" s="9" t="str">
        <f>IF(E5&lt;30,"&lt;30",IF(E5&lt;40,"30-39","40+"))</f>
        <v>40+</v>
      </c>
    </row>
    <row r="6" spans="1:16" x14ac:dyDescent="0.25">
      <c r="A6" s="9" t="s">
        <v>229</v>
      </c>
      <c r="B6" s="9" t="s">
        <v>62</v>
      </c>
      <c r="C6" s="9" t="s">
        <v>109</v>
      </c>
      <c r="D6" s="9" t="s">
        <v>102</v>
      </c>
      <c r="E6" s="9">
        <v>38</v>
      </c>
      <c r="F6" s="20">
        <v>43180</v>
      </c>
      <c r="G6" s="20"/>
      <c r="H6" s="9" t="s">
        <v>51</v>
      </c>
      <c r="I6" s="21">
        <v>44000</v>
      </c>
      <c r="J6" s="9">
        <v>1</v>
      </c>
      <c r="K6" s="9">
        <v>5</v>
      </c>
      <c r="L6" s="9" t="s">
        <v>70</v>
      </c>
      <c r="M6" s="9"/>
      <c r="N6" s="9">
        <f>ROUND((IF(G6="",Analysis!$B$2,G6)-F6)/365.25,1)</f>
        <v>8.6</v>
      </c>
      <c r="O6" s="9" t="str">
        <f>IF(G6="","",YEAR(G6))</f>
        <v/>
      </c>
      <c r="P6" s="9" t="str">
        <f>IF(E6&lt;30,"&lt;30",IF(E6&lt;40,"30-39","40+"))</f>
        <v>30-39</v>
      </c>
    </row>
    <row r="7" spans="1:16" x14ac:dyDescent="0.25">
      <c r="A7" s="9" t="s">
        <v>165</v>
      </c>
      <c r="B7" s="9" t="s">
        <v>57</v>
      </c>
      <c r="C7" s="9" t="s">
        <v>147</v>
      </c>
      <c r="D7" s="9" t="s">
        <v>110</v>
      </c>
      <c r="E7" s="9">
        <v>21</v>
      </c>
      <c r="F7" s="20">
        <v>45699</v>
      </c>
      <c r="G7" s="20"/>
      <c r="H7" s="9" t="s">
        <v>51</v>
      </c>
      <c r="I7" s="21">
        <v>48300</v>
      </c>
      <c r="J7" s="9">
        <v>1</v>
      </c>
      <c r="K7" s="9">
        <v>3</v>
      </c>
      <c r="L7" s="9" t="s">
        <v>71</v>
      </c>
      <c r="M7" s="9"/>
      <c r="N7" s="9">
        <f>ROUND((IF(G7="",Analysis!$B$2,G7)-F7)/365.25,1)</f>
        <v>1.7</v>
      </c>
      <c r="O7" s="9" t="str">
        <f>IF(G7="","",YEAR(G7))</f>
        <v/>
      </c>
      <c r="P7" s="9" t="str">
        <f>IF(E7&lt;30,"&lt;30",IF(E7&lt;40,"30-39","40+"))</f>
        <v>&lt;30</v>
      </c>
    </row>
    <row r="8" spans="1:16" x14ac:dyDescent="0.25">
      <c r="A8" s="9" t="s">
        <v>169</v>
      </c>
      <c r="B8" s="9" t="s">
        <v>62</v>
      </c>
      <c r="C8" s="9" t="s">
        <v>116</v>
      </c>
      <c r="D8" s="9" t="s">
        <v>102</v>
      </c>
      <c r="E8" s="9">
        <v>34</v>
      </c>
      <c r="F8" s="20">
        <v>44790</v>
      </c>
      <c r="G8" s="20">
        <v>46259</v>
      </c>
      <c r="H8" s="9" t="s">
        <v>103</v>
      </c>
      <c r="I8" s="21">
        <v>50600</v>
      </c>
      <c r="J8" s="9">
        <v>1</v>
      </c>
      <c r="K8" s="9">
        <v>3</v>
      </c>
      <c r="L8" s="9" t="s">
        <v>71</v>
      </c>
      <c r="M8" s="9" t="s">
        <v>84</v>
      </c>
      <c r="N8" s="9">
        <f>ROUND((IF(G8="",Analysis!$B$2,G8)-F8)/365.25,1)</f>
        <v>4</v>
      </c>
      <c r="O8" s="9">
        <f>IF(G8="","",YEAR(G8))</f>
        <v>2026</v>
      </c>
      <c r="P8" s="9" t="str">
        <f>IF(E8&lt;30,"&lt;30",IF(E8&lt;40,"30-39","40+"))</f>
        <v>30-39</v>
      </c>
    </row>
    <row r="9" spans="1:16" x14ac:dyDescent="0.25">
      <c r="A9" s="9" t="s">
        <v>196</v>
      </c>
      <c r="B9" s="9" t="s">
        <v>61</v>
      </c>
      <c r="C9" s="9" t="s">
        <v>123</v>
      </c>
      <c r="D9" s="9" t="s">
        <v>110</v>
      </c>
      <c r="E9" s="9">
        <v>39</v>
      </c>
      <c r="F9" s="20">
        <v>44831</v>
      </c>
      <c r="G9" s="20"/>
      <c r="H9" s="9" t="s">
        <v>51</v>
      </c>
      <c r="I9" s="21">
        <v>54700</v>
      </c>
      <c r="J9" s="9">
        <v>1</v>
      </c>
      <c r="K9" s="9">
        <v>3</v>
      </c>
      <c r="L9" s="9" t="s">
        <v>71</v>
      </c>
      <c r="M9" s="9"/>
      <c r="N9" s="9">
        <f>ROUND((IF(G9="",Analysis!$B$2,G9)-F9)/365.25,1)</f>
        <v>4.0999999999999996</v>
      </c>
      <c r="O9" s="9" t="str">
        <f>IF(G9="","",YEAR(G9))</f>
        <v/>
      </c>
      <c r="P9" s="9" t="str">
        <f>IF(E9&lt;30,"&lt;30",IF(E9&lt;40,"30-39","40+"))</f>
        <v>30-39</v>
      </c>
    </row>
    <row r="10" spans="1:16" x14ac:dyDescent="0.25">
      <c r="A10" s="9" t="s">
        <v>565</v>
      </c>
      <c r="B10" s="9" t="s">
        <v>57</v>
      </c>
      <c r="C10" s="9" t="s">
        <v>112</v>
      </c>
      <c r="D10" s="9" t="s">
        <v>102</v>
      </c>
      <c r="E10" s="9">
        <v>29</v>
      </c>
      <c r="F10" s="20">
        <v>43771</v>
      </c>
      <c r="G10" s="20"/>
      <c r="H10" s="9" t="s">
        <v>51</v>
      </c>
      <c r="I10" s="21">
        <v>60100</v>
      </c>
      <c r="J10" s="9">
        <v>1</v>
      </c>
      <c r="K10" s="9">
        <v>2</v>
      </c>
      <c r="L10" s="9" t="s">
        <v>71</v>
      </c>
      <c r="M10" s="9"/>
      <c r="N10" s="9">
        <f>ROUND((IF(G10="",Analysis!$B$2,G10)-F10)/365.25,1)</f>
        <v>7</v>
      </c>
      <c r="O10" s="9" t="str">
        <f>IF(G10="","",YEAR(G10))</f>
        <v/>
      </c>
      <c r="P10" s="9" t="str">
        <f>IF(E10&lt;30,"&lt;30",IF(E10&lt;40,"30-39","40+"))</f>
        <v>&lt;30</v>
      </c>
    </row>
    <row r="11" spans="1:16" x14ac:dyDescent="0.25">
      <c r="A11" s="9" t="s">
        <v>518</v>
      </c>
      <c r="B11" s="9" t="s">
        <v>58</v>
      </c>
      <c r="C11" s="9" t="s">
        <v>121</v>
      </c>
      <c r="D11" s="9" t="s">
        <v>110</v>
      </c>
      <c r="E11" s="9">
        <v>37</v>
      </c>
      <c r="F11" s="20">
        <v>46231</v>
      </c>
      <c r="G11" s="20">
        <v>46321</v>
      </c>
      <c r="H11" s="9" t="s">
        <v>103</v>
      </c>
      <c r="I11" s="21">
        <v>61200</v>
      </c>
      <c r="J11" s="9">
        <v>1</v>
      </c>
      <c r="K11" s="9">
        <v>3</v>
      </c>
      <c r="L11" s="9" t="s">
        <v>70</v>
      </c>
      <c r="M11" s="9" t="s">
        <v>83</v>
      </c>
      <c r="N11" s="9">
        <f>ROUND((IF(G11="",Analysis!$B$2,G11)-F11)/365.25,1)</f>
        <v>0.2</v>
      </c>
      <c r="O11" s="9">
        <f>IF(G11="","",YEAR(G11))</f>
        <v>2026</v>
      </c>
      <c r="P11" s="9" t="str">
        <f>IF(E11&lt;30,"&lt;30",IF(E11&lt;40,"30-39","40+"))</f>
        <v>30-39</v>
      </c>
    </row>
    <row r="12" spans="1:16" x14ac:dyDescent="0.25">
      <c r="A12" s="9" t="s">
        <v>506</v>
      </c>
      <c r="B12" s="9" t="s">
        <v>61</v>
      </c>
      <c r="C12" s="9" t="s">
        <v>123</v>
      </c>
      <c r="D12" s="9" t="s">
        <v>102</v>
      </c>
      <c r="E12" s="9">
        <v>31</v>
      </c>
      <c r="F12" s="20">
        <v>44753</v>
      </c>
      <c r="G12" s="20"/>
      <c r="H12" s="9" t="s">
        <v>51</v>
      </c>
      <c r="I12" s="21">
        <v>65400</v>
      </c>
      <c r="J12" s="9">
        <v>1</v>
      </c>
      <c r="K12" s="9">
        <v>4</v>
      </c>
      <c r="L12" s="9" t="s">
        <v>71</v>
      </c>
      <c r="M12" s="9"/>
      <c r="N12" s="9">
        <f>ROUND((IF(G12="",Analysis!$B$2,G12)-F12)/365.25,1)</f>
        <v>4.3</v>
      </c>
      <c r="O12" s="9" t="str">
        <f>IF(G12="","",YEAR(G12))</f>
        <v/>
      </c>
      <c r="P12" s="9" t="str">
        <f>IF(E12&lt;30,"&lt;30",IF(E12&lt;40,"30-39","40+"))</f>
        <v>30-39</v>
      </c>
    </row>
    <row r="13" spans="1:16" x14ac:dyDescent="0.25">
      <c r="A13" s="9" t="s">
        <v>498</v>
      </c>
      <c r="B13" s="9" t="s">
        <v>57</v>
      </c>
      <c r="C13" s="9" t="s">
        <v>112</v>
      </c>
      <c r="D13" s="9" t="s">
        <v>110</v>
      </c>
      <c r="E13" s="9">
        <v>39</v>
      </c>
      <c r="F13" s="20">
        <v>45100</v>
      </c>
      <c r="G13" s="20"/>
      <c r="H13" s="9" t="s">
        <v>51</v>
      </c>
      <c r="I13" s="21">
        <v>65900</v>
      </c>
      <c r="J13" s="9">
        <v>1</v>
      </c>
      <c r="K13" s="9">
        <v>3</v>
      </c>
      <c r="L13" s="9" t="s">
        <v>70</v>
      </c>
      <c r="M13" s="9"/>
      <c r="N13" s="9">
        <f>ROUND((IF(G13="",Analysis!$B$2,G13)-F13)/365.25,1)</f>
        <v>3.3</v>
      </c>
      <c r="O13" s="9" t="str">
        <f>IF(G13="","",YEAR(G13))</f>
        <v/>
      </c>
      <c r="P13" s="9" t="str">
        <f>IF(E13&lt;30,"&lt;30",IF(E13&lt;40,"30-39","40+"))</f>
        <v>30-39</v>
      </c>
    </row>
    <row r="14" spans="1:16" x14ac:dyDescent="0.25">
      <c r="A14" s="9" t="s">
        <v>527</v>
      </c>
      <c r="B14" s="9" t="s">
        <v>63</v>
      </c>
      <c r="C14" s="9" t="s">
        <v>105</v>
      </c>
      <c r="D14" s="9" t="s">
        <v>110</v>
      </c>
      <c r="E14" s="9">
        <v>42</v>
      </c>
      <c r="F14" s="20">
        <v>44966</v>
      </c>
      <c r="G14" s="20"/>
      <c r="H14" s="9" t="s">
        <v>51</v>
      </c>
      <c r="I14" s="21">
        <v>67600</v>
      </c>
      <c r="J14" s="9">
        <v>1</v>
      </c>
      <c r="K14" s="9">
        <v>3</v>
      </c>
      <c r="L14" s="9" t="s">
        <v>71</v>
      </c>
      <c r="M14" s="9"/>
      <c r="N14" s="9">
        <f>ROUND((IF(G14="",Analysis!$B$2,G14)-F14)/365.25,1)</f>
        <v>3.7</v>
      </c>
      <c r="O14" s="9" t="str">
        <f>IF(G14="","",YEAR(G14))</f>
        <v/>
      </c>
      <c r="P14" s="9" t="str">
        <f>IF(E14&lt;30,"&lt;30",IF(E14&lt;40,"30-39","40+"))</f>
        <v>40+</v>
      </c>
    </row>
    <row r="15" spans="1:16" x14ac:dyDescent="0.25">
      <c r="A15" s="9" t="s">
        <v>483</v>
      </c>
      <c r="B15" s="9" t="s">
        <v>62</v>
      </c>
      <c r="C15" s="9" t="s">
        <v>150</v>
      </c>
      <c r="D15" s="9" t="s">
        <v>102</v>
      </c>
      <c r="E15" s="9">
        <v>21</v>
      </c>
      <c r="F15" s="20">
        <v>44042</v>
      </c>
      <c r="G15" s="20">
        <v>44526</v>
      </c>
      <c r="H15" s="9" t="s">
        <v>103</v>
      </c>
      <c r="I15" s="21">
        <v>67800</v>
      </c>
      <c r="J15" s="9">
        <v>1</v>
      </c>
      <c r="K15" s="9">
        <v>2</v>
      </c>
      <c r="L15" s="9" t="s">
        <v>71</v>
      </c>
      <c r="M15" s="9" t="s">
        <v>79</v>
      </c>
      <c r="N15" s="9">
        <f>ROUND((IF(G15="",Analysis!$B$2,G15)-F15)/365.25,1)</f>
        <v>1.3</v>
      </c>
      <c r="O15" s="9">
        <f>IF(G15="","",YEAR(G15))</f>
        <v>2021</v>
      </c>
      <c r="P15" s="9" t="str">
        <f>IF(E15&lt;30,"&lt;30",IF(E15&lt;40,"30-39","40+"))</f>
        <v>&lt;30</v>
      </c>
    </row>
    <row r="16" spans="1:16" x14ac:dyDescent="0.25">
      <c r="A16" s="9" t="s">
        <v>495</v>
      </c>
      <c r="B16" s="9" t="s">
        <v>57</v>
      </c>
      <c r="C16" s="9" t="s">
        <v>112</v>
      </c>
      <c r="D16" s="9" t="s">
        <v>110</v>
      </c>
      <c r="E16" s="9">
        <v>32</v>
      </c>
      <c r="F16" s="20">
        <v>44918</v>
      </c>
      <c r="G16" s="20">
        <v>45775</v>
      </c>
      <c r="H16" s="9" t="s">
        <v>103</v>
      </c>
      <c r="I16" s="21">
        <v>68600</v>
      </c>
      <c r="J16" s="9">
        <v>1</v>
      </c>
      <c r="K16" s="9">
        <v>3</v>
      </c>
      <c r="L16" s="9" t="s">
        <v>70</v>
      </c>
      <c r="M16" s="9" t="s">
        <v>82</v>
      </c>
      <c r="N16" s="9">
        <f>ROUND((IF(G16="",Analysis!$B$2,G16)-F16)/365.25,1)</f>
        <v>2.2999999999999998</v>
      </c>
      <c r="O16" s="9">
        <f>IF(G16="","",YEAR(G16))</f>
        <v>2025</v>
      </c>
      <c r="P16" s="9" t="str">
        <f>IF(E16&lt;30,"&lt;30",IF(E16&lt;40,"30-39","40+"))</f>
        <v>30-39</v>
      </c>
    </row>
    <row r="17" spans="1:16" x14ac:dyDescent="0.25">
      <c r="A17" s="9" t="s">
        <v>430</v>
      </c>
      <c r="B17" s="9" t="s">
        <v>57</v>
      </c>
      <c r="C17" s="9" t="s">
        <v>112</v>
      </c>
      <c r="D17" s="9" t="s">
        <v>110</v>
      </c>
      <c r="E17" s="9">
        <v>28</v>
      </c>
      <c r="F17" s="20">
        <v>45713</v>
      </c>
      <c r="G17" s="20"/>
      <c r="H17" s="9" t="s">
        <v>51</v>
      </c>
      <c r="I17" s="21">
        <v>70800</v>
      </c>
      <c r="J17" s="9">
        <v>1</v>
      </c>
      <c r="K17" s="9">
        <v>3</v>
      </c>
      <c r="L17" s="9" t="s">
        <v>70</v>
      </c>
      <c r="M17" s="9"/>
      <c r="N17" s="9">
        <f>ROUND((IF(G17="",Analysis!$B$2,G17)-F17)/365.25,1)</f>
        <v>1.7</v>
      </c>
      <c r="O17" s="9" t="str">
        <f>IF(G17="","",YEAR(G17))</f>
        <v/>
      </c>
      <c r="P17" s="9" t="str">
        <f>IF(E17&lt;30,"&lt;30",IF(E17&lt;40,"30-39","40+"))</f>
        <v>&lt;30</v>
      </c>
    </row>
    <row r="18" spans="1:16" x14ac:dyDescent="0.25">
      <c r="A18" s="9" t="s">
        <v>277</v>
      </c>
      <c r="B18" s="9" t="s">
        <v>62</v>
      </c>
      <c r="C18" s="9" t="s">
        <v>150</v>
      </c>
      <c r="D18" s="9" t="s">
        <v>102</v>
      </c>
      <c r="E18" s="9">
        <v>31</v>
      </c>
      <c r="F18" s="20">
        <v>45024</v>
      </c>
      <c r="G18" s="20"/>
      <c r="H18" s="9" t="s">
        <v>51</v>
      </c>
      <c r="I18" s="21">
        <v>72900</v>
      </c>
      <c r="J18" s="9">
        <v>1</v>
      </c>
      <c r="K18" s="9">
        <v>5</v>
      </c>
      <c r="L18" s="9" t="s">
        <v>71</v>
      </c>
      <c r="M18" s="9"/>
      <c r="N18" s="9">
        <f>ROUND((IF(G18="",Analysis!$B$2,G18)-F18)/365.25,1)</f>
        <v>3.6</v>
      </c>
      <c r="O18" s="9" t="str">
        <f>IF(G18="","",YEAR(G18))</f>
        <v/>
      </c>
      <c r="P18" s="9" t="str">
        <f>IF(E18&lt;30,"&lt;30",IF(E18&lt;40,"30-39","40+"))</f>
        <v>30-39</v>
      </c>
    </row>
    <row r="19" spans="1:16" x14ac:dyDescent="0.25">
      <c r="A19" s="9" t="s">
        <v>593</v>
      </c>
      <c r="B19" s="9" t="s">
        <v>61</v>
      </c>
      <c r="C19" s="9" t="s">
        <v>178</v>
      </c>
      <c r="D19" s="9" t="s">
        <v>102</v>
      </c>
      <c r="E19" s="9">
        <v>21</v>
      </c>
      <c r="F19" s="20">
        <v>43306</v>
      </c>
      <c r="G19" s="20"/>
      <c r="H19" s="9" t="s">
        <v>51</v>
      </c>
      <c r="I19" s="21">
        <v>76400</v>
      </c>
      <c r="J19" s="9">
        <v>1</v>
      </c>
      <c r="K19" s="9">
        <v>2</v>
      </c>
      <c r="L19" s="9" t="s">
        <v>70</v>
      </c>
      <c r="M19" s="9"/>
      <c r="N19" s="9">
        <f>ROUND((IF(G19="",Analysis!$B$2,G19)-F19)/365.25,1)</f>
        <v>8.3000000000000007</v>
      </c>
      <c r="O19" s="9" t="str">
        <f>IF(G19="","",YEAR(G19))</f>
        <v/>
      </c>
      <c r="P19" s="9" t="str">
        <f>IF(E19&lt;30,"&lt;30",IF(E19&lt;40,"30-39","40+"))</f>
        <v>&lt;30</v>
      </c>
    </row>
    <row r="20" spans="1:16" x14ac:dyDescent="0.25">
      <c r="A20" s="9" t="s">
        <v>478</v>
      </c>
      <c r="B20" s="9" t="s">
        <v>61</v>
      </c>
      <c r="C20" s="9" t="s">
        <v>178</v>
      </c>
      <c r="D20" s="9" t="s">
        <v>102</v>
      </c>
      <c r="E20" s="9">
        <v>39</v>
      </c>
      <c r="F20" s="20">
        <v>43490</v>
      </c>
      <c r="G20" s="20"/>
      <c r="H20" s="9" t="s">
        <v>51</v>
      </c>
      <c r="I20" s="21">
        <v>76400</v>
      </c>
      <c r="J20" s="9">
        <v>1</v>
      </c>
      <c r="K20" s="9">
        <v>5</v>
      </c>
      <c r="L20" s="9" t="s">
        <v>71</v>
      </c>
      <c r="M20" s="9"/>
      <c r="N20" s="9">
        <f>ROUND((IF(G20="",Analysis!$B$2,G20)-F20)/365.25,1)</f>
        <v>7.8</v>
      </c>
      <c r="O20" s="9" t="str">
        <f>IF(G20="","",YEAR(G20))</f>
        <v/>
      </c>
      <c r="P20" s="9" t="str">
        <f>IF(E20&lt;30,"&lt;30",IF(E20&lt;40,"30-39","40+"))</f>
        <v>30-39</v>
      </c>
    </row>
    <row r="21" spans="1:16" x14ac:dyDescent="0.25">
      <c r="A21" s="9" t="s">
        <v>471</v>
      </c>
      <c r="B21" s="9" t="s">
        <v>62</v>
      </c>
      <c r="C21" s="9" t="s">
        <v>150</v>
      </c>
      <c r="D21" s="9" t="s">
        <v>110</v>
      </c>
      <c r="E21" s="9">
        <v>34</v>
      </c>
      <c r="F21" s="20">
        <v>45892</v>
      </c>
      <c r="G21" s="20"/>
      <c r="H21" s="9" t="s">
        <v>51</v>
      </c>
      <c r="I21" s="21">
        <v>76600</v>
      </c>
      <c r="J21" s="9">
        <v>1</v>
      </c>
      <c r="K21" s="9">
        <v>4</v>
      </c>
      <c r="L21" s="9" t="s">
        <v>71</v>
      </c>
      <c r="M21" s="9"/>
      <c r="N21" s="9">
        <f>ROUND((IF(G21="",Analysis!$B$2,G21)-F21)/365.25,1)</f>
        <v>1.2</v>
      </c>
      <c r="O21" s="9" t="str">
        <f>IF(G21="","",YEAR(G21))</f>
        <v/>
      </c>
      <c r="P21" s="9" t="str">
        <f>IF(E21&lt;30,"&lt;30",IF(E21&lt;40,"30-39","40+"))</f>
        <v>30-39</v>
      </c>
    </row>
    <row r="22" spans="1:16" x14ac:dyDescent="0.25">
      <c r="A22" s="9" t="s">
        <v>148</v>
      </c>
      <c r="B22" s="9" t="s">
        <v>59</v>
      </c>
      <c r="C22" s="9" t="s">
        <v>137</v>
      </c>
      <c r="D22" s="9" t="s">
        <v>110</v>
      </c>
      <c r="E22" s="9">
        <v>34</v>
      </c>
      <c r="F22" s="20">
        <v>44963</v>
      </c>
      <c r="G22" s="20"/>
      <c r="H22" s="9" t="s">
        <v>51</v>
      </c>
      <c r="I22" s="21">
        <v>77400</v>
      </c>
      <c r="J22" s="9">
        <v>1</v>
      </c>
      <c r="K22" s="9">
        <v>3</v>
      </c>
      <c r="L22" s="9" t="s">
        <v>71</v>
      </c>
      <c r="M22" s="9"/>
      <c r="N22" s="9">
        <f>ROUND((IF(G22="",Analysis!$B$2,G22)-F22)/365.25,1)</f>
        <v>3.7</v>
      </c>
      <c r="O22" s="9" t="str">
        <f>IF(G22="","",YEAR(G22))</f>
        <v/>
      </c>
      <c r="P22" s="9" t="str">
        <f>IF(E22&lt;30,"&lt;30",IF(E22&lt;40,"30-39","40+"))</f>
        <v>30-39</v>
      </c>
    </row>
    <row r="23" spans="1:16" x14ac:dyDescent="0.25">
      <c r="A23" s="9" t="s">
        <v>215</v>
      </c>
      <c r="B23" s="9" t="s">
        <v>59</v>
      </c>
      <c r="C23" s="9" t="s">
        <v>107</v>
      </c>
      <c r="D23" s="9" t="s">
        <v>193</v>
      </c>
      <c r="E23" s="9">
        <v>29</v>
      </c>
      <c r="F23" s="20">
        <v>44859</v>
      </c>
      <c r="G23" s="20"/>
      <c r="H23" s="9" t="s">
        <v>51</v>
      </c>
      <c r="I23" s="21">
        <v>97500</v>
      </c>
      <c r="J23" s="9">
        <v>1</v>
      </c>
      <c r="K23" s="9">
        <v>4</v>
      </c>
      <c r="L23" s="9" t="s">
        <v>71</v>
      </c>
      <c r="M23" s="9"/>
      <c r="N23" s="9">
        <f>ROUND((IF(G23="",Analysis!$B$2,G23)-F23)/365.25,1)</f>
        <v>4</v>
      </c>
      <c r="O23" s="9" t="str">
        <f>IF(G23="","",YEAR(G23))</f>
        <v/>
      </c>
      <c r="P23" s="9" t="str">
        <f>IF(E23&lt;30,"&lt;30",IF(E23&lt;40,"30-39","40+"))</f>
        <v>&lt;30</v>
      </c>
    </row>
    <row r="24" spans="1:16" x14ac:dyDescent="0.25">
      <c r="A24" s="9" t="s">
        <v>557</v>
      </c>
      <c r="B24" s="9" t="s">
        <v>61</v>
      </c>
      <c r="C24" s="9" t="s">
        <v>114</v>
      </c>
      <c r="D24" s="9" t="s">
        <v>110</v>
      </c>
      <c r="E24" s="9">
        <v>41</v>
      </c>
      <c r="F24" s="20">
        <v>44454</v>
      </c>
      <c r="G24" s="20"/>
      <c r="H24" s="9" t="s">
        <v>51</v>
      </c>
      <c r="I24" s="21">
        <v>105100</v>
      </c>
      <c r="J24" s="9">
        <v>1</v>
      </c>
      <c r="K24" s="9">
        <v>5</v>
      </c>
      <c r="L24" s="9" t="s">
        <v>71</v>
      </c>
      <c r="M24" s="9"/>
      <c r="N24" s="9">
        <f>ROUND((IF(G24="",Analysis!$B$2,G24)-F24)/365.25,1)</f>
        <v>5.0999999999999996</v>
      </c>
      <c r="O24" s="9" t="str">
        <f>IF(G24="","",YEAR(G24))</f>
        <v/>
      </c>
      <c r="P24" s="9" t="str">
        <f>IF(E24&lt;30,"&lt;30",IF(E24&lt;40,"30-39","40+"))</f>
        <v>40+</v>
      </c>
    </row>
    <row r="25" spans="1:16" x14ac:dyDescent="0.25">
      <c r="A25" s="9" t="s">
        <v>377</v>
      </c>
      <c r="B25" s="9" t="s">
        <v>59</v>
      </c>
      <c r="C25" s="9" t="s">
        <v>134</v>
      </c>
      <c r="D25" s="9" t="s">
        <v>110</v>
      </c>
      <c r="E25" s="9">
        <v>44</v>
      </c>
      <c r="F25" s="20">
        <v>45506</v>
      </c>
      <c r="G25" s="20"/>
      <c r="H25" s="9" t="s">
        <v>51</v>
      </c>
      <c r="I25" s="21">
        <v>127300</v>
      </c>
      <c r="J25" s="9">
        <v>1</v>
      </c>
      <c r="K25" s="9">
        <v>3</v>
      </c>
      <c r="L25" s="9" t="s">
        <v>70</v>
      </c>
      <c r="M25" s="9"/>
      <c r="N25" s="9">
        <f>ROUND((IF(G25="",Analysis!$B$2,G25)-F25)/365.25,1)</f>
        <v>2.2000000000000002</v>
      </c>
      <c r="O25" s="9" t="str">
        <f>IF(G25="","",YEAR(G25))</f>
        <v/>
      </c>
      <c r="P25" s="9" t="str">
        <f>IF(E25&lt;30,"&lt;30",IF(E25&lt;40,"30-39","40+"))</f>
        <v>40+</v>
      </c>
    </row>
    <row r="26" spans="1:16" x14ac:dyDescent="0.25">
      <c r="A26" s="9" t="s">
        <v>162</v>
      </c>
      <c r="B26" s="9" t="s">
        <v>59</v>
      </c>
      <c r="C26" s="9" t="s">
        <v>163</v>
      </c>
      <c r="D26" s="9" t="s">
        <v>110</v>
      </c>
      <c r="E26" s="9">
        <v>30</v>
      </c>
      <c r="F26" s="20">
        <v>46103</v>
      </c>
      <c r="G26" s="20">
        <v>46212</v>
      </c>
      <c r="H26" s="9" t="s">
        <v>103</v>
      </c>
      <c r="I26" s="21">
        <v>135600</v>
      </c>
      <c r="J26" s="9">
        <v>1</v>
      </c>
      <c r="K26" s="9">
        <v>4</v>
      </c>
      <c r="L26" s="9" t="s">
        <v>71</v>
      </c>
      <c r="M26" s="9" t="s">
        <v>82</v>
      </c>
      <c r="N26" s="9">
        <f>ROUND((IF(G26="",Analysis!$B$2,G26)-F26)/365.25,1)</f>
        <v>0.3</v>
      </c>
      <c r="O26" s="9">
        <f>IF(G26="","",YEAR(G26))</f>
        <v>2026</v>
      </c>
      <c r="P26" s="9" t="str">
        <f>IF(E26&lt;30,"&lt;30",IF(E26&lt;40,"30-39","40+"))</f>
        <v>30-39</v>
      </c>
    </row>
    <row r="27" spans="1:16" x14ac:dyDescent="0.25">
      <c r="A27" s="9" t="s">
        <v>415</v>
      </c>
      <c r="B27" s="9" t="s">
        <v>58</v>
      </c>
      <c r="C27" s="9" t="s">
        <v>128</v>
      </c>
      <c r="D27" s="9" t="s">
        <v>110</v>
      </c>
      <c r="E27" s="9">
        <v>36</v>
      </c>
      <c r="F27" s="20">
        <v>43511</v>
      </c>
      <c r="G27" s="20"/>
      <c r="H27" s="9" t="s">
        <v>51</v>
      </c>
      <c r="I27" s="21">
        <v>30700</v>
      </c>
      <c r="J27" s="9">
        <v>2</v>
      </c>
      <c r="K27" s="9">
        <v>4</v>
      </c>
      <c r="L27" s="9" t="s">
        <v>71</v>
      </c>
      <c r="M27" s="9"/>
      <c r="N27" s="9">
        <f>ROUND((IF(G27="",Analysis!$B$2,G27)-F27)/365.25,1)</f>
        <v>7.7</v>
      </c>
      <c r="O27" s="9" t="str">
        <f>IF(G27="","",YEAR(G27))</f>
        <v/>
      </c>
      <c r="P27" s="9" t="str">
        <f>IF(E27&lt;30,"&lt;30",IF(E27&lt;40,"30-39","40+"))</f>
        <v>30-39</v>
      </c>
    </row>
    <row r="28" spans="1:16" x14ac:dyDescent="0.25">
      <c r="A28" s="9" t="s">
        <v>127</v>
      </c>
      <c r="B28" s="9" t="s">
        <v>58</v>
      </c>
      <c r="C28" s="9" t="s">
        <v>128</v>
      </c>
      <c r="D28" s="9" t="s">
        <v>102</v>
      </c>
      <c r="E28" s="9">
        <v>33</v>
      </c>
      <c r="F28" s="20">
        <v>43556</v>
      </c>
      <c r="G28" s="20"/>
      <c r="H28" s="9" t="s">
        <v>51</v>
      </c>
      <c r="I28" s="21">
        <v>35900</v>
      </c>
      <c r="J28" s="9">
        <v>2</v>
      </c>
      <c r="K28" s="9">
        <v>2</v>
      </c>
      <c r="L28" s="9" t="s">
        <v>71</v>
      </c>
      <c r="M28" s="9"/>
      <c r="N28" s="9">
        <f>ROUND((IF(G28="",Analysis!$B$2,G28)-F28)/365.25,1)</f>
        <v>7.6</v>
      </c>
      <c r="O28" s="9" t="str">
        <f>IF(G28="","",YEAR(G28))</f>
        <v/>
      </c>
      <c r="P28" s="9" t="str">
        <f>IF(E28&lt;30,"&lt;30",IF(E28&lt;40,"30-39","40+"))</f>
        <v>30-39</v>
      </c>
    </row>
    <row r="29" spans="1:16" x14ac:dyDescent="0.25">
      <c r="A29" s="9" t="s">
        <v>108</v>
      </c>
      <c r="B29" s="9" t="s">
        <v>62</v>
      </c>
      <c r="C29" s="9" t="s">
        <v>109</v>
      </c>
      <c r="D29" s="9" t="s">
        <v>110</v>
      </c>
      <c r="E29" s="9">
        <v>22</v>
      </c>
      <c r="F29" s="20">
        <v>45032</v>
      </c>
      <c r="G29" s="20"/>
      <c r="H29" s="9" t="s">
        <v>51</v>
      </c>
      <c r="I29" s="21">
        <v>39200</v>
      </c>
      <c r="J29" s="9">
        <v>2</v>
      </c>
      <c r="K29" s="9">
        <v>3</v>
      </c>
      <c r="L29" s="9" t="s">
        <v>71</v>
      </c>
      <c r="M29" s="9"/>
      <c r="N29" s="9">
        <f>ROUND((IF(G29="",Analysis!$B$2,G29)-F29)/365.25,1)</f>
        <v>3.5</v>
      </c>
      <c r="O29" s="9" t="str">
        <f>IF(G29="","",YEAR(G29))</f>
        <v/>
      </c>
      <c r="P29" s="9" t="str">
        <f>IF(E29&lt;30,"&lt;30",IF(E29&lt;40,"30-39","40+"))</f>
        <v>&lt;30</v>
      </c>
    </row>
    <row r="30" spans="1:16" x14ac:dyDescent="0.25">
      <c r="A30" s="9" t="s">
        <v>609</v>
      </c>
      <c r="B30" s="9" t="s">
        <v>62</v>
      </c>
      <c r="C30" s="9" t="s">
        <v>109</v>
      </c>
      <c r="D30" s="9" t="s">
        <v>102</v>
      </c>
      <c r="E30" s="9">
        <v>31</v>
      </c>
      <c r="F30" s="20">
        <v>46114</v>
      </c>
      <c r="G30" s="20"/>
      <c r="H30" s="9" t="s">
        <v>51</v>
      </c>
      <c r="I30" s="21">
        <v>40300</v>
      </c>
      <c r="J30" s="9">
        <v>2</v>
      </c>
      <c r="K30" s="9">
        <v>5</v>
      </c>
      <c r="L30" s="9" t="s">
        <v>70</v>
      </c>
      <c r="M30" s="9"/>
      <c r="N30" s="9">
        <f>ROUND((IF(G30="",Analysis!$B$2,G30)-F30)/365.25,1)</f>
        <v>0.6</v>
      </c>
      <c r="O30" s="9" t="str">
        <f>IF(G30="","",YEAR(G30))</f>
        <v/>
      </c>
      <c r="P30" s="9" t="str">
        <f>IF(E30&lt;30,"&lt;30",IF(E30&lt;40,"30-39","40+"))</f>
        <v>30-39</v>
      </c>
    </row>
    <row r="31" spans="1:16" x14ac:dyDescent="0.25">
      <c r="A31" s="9" t="s">
        <v>582</v>
      </c>
      <c r="B31" s="9" t="s">
        <v>57</v>
      </c>
      <c r="C31" s="9" t="s">
        <v>147</v>
      </c>
      <c r="D31" s="9" t="s">
        <v>102</v>
      </c>
      <c r="E31" s="9">
        <v>35</v>
      </c>
      <c r="F31" s="20">
        <v>45856</v>
      </c>
      <c r="G31" s="20"/>
      <c r="H31" s="9" t="s">
        <v>51</v>
      </c>
      <c r="I31" s="21">
        <v>42100</v>
      </c>
      <c r="J31" s="9">
        <v>2</v>
      </c>
      <c r="K31" s="9">
        <v>4</v>
      </c>
      <c r="L31" s="9" t="s">
        <v>70</v>
      </c>
      <c r="M31" s="9"/>
      <c r="N31" s="9">
        <f>ROUND((IF(G31="",Analysis!$B$2,G31)-F31)/365.25,1)</f>
        <v>1.3</v>
      </c>
      <c r="O31" s="9" t="str">
        <f>IF(G31="","",YEAR(G31))</f>
        <v/>
      </c>
      <c r="P31" s="9" t="str">
        <f>IF(E31&lt;30,"&lt;30",IF(E31&lt;40,"30-39","40+"))</f>
        <v>30-39</v>
      </c>
    </row>
    <row r="32" spans="1:16" x14ac:dyDescent="0.25">
      <c r="A32" s="9" t="s">
        <v>554</v>
      </c>
      <c r="B32" s="9" t="s">
        <v>57</v>
      </c>
      <c r="C32" s="9" t="s">
        <v>147</v>
      </c>
      <c r="D32" s="9" t="s">
        <v>110</v>
      </c>
      <c r="E32" s="9">
        <v>31</v>
      </c>
      <c r="F32" s="20">
        <v>45859</v>
      </c>
      <c r="G32" s="20">
        <v>46178</v>
      </c>
      <c r="H32" s="9" t="s">
        <v>103</v>
      </c>
      <c r="I32" s="21">
        <v>42200</v>
      </c>
      <c r="J32" s="9">
        <v>2</v>
      </c>
      <c r="K32" s="9">
        <v>4</v>
      </c>
      <c r="L32" s="9" t="s">
        <v>71</v>
      </c>
      <c r="M32" s="9" t="s">
        <v>80</v>
      </c>
      <c r="N32" s="9">
        <f>ROUND((IF(G32="",Analysis!$B$2,G32)-F32)/365.25,1)</f>
        <v>0.9</v>
      </c>
      <c r="O32" s="9">
        <f>IF(G32="","",YEAR(G32))</f>
        <v>2026</v>
      </c>
      <c r="P32" s="9" t="str">
        <f>IF(E32&lt;30,"&lt;30",IF(E32&lt;40,"30-39","40+"))</f>
        <v>30-39</v>
      </c>
    </row>
    <row r="33" spans="1:16" x14ac:dyDescent="0.25">
      <c r="A33" s="9" t="s">
        <v>205</v>
      </c>
      <c r="B33" s="9" t="s">
        <v>60</v>
      </c>
      <c r="C33" s="9" t="s">
        <v>130</v>
      </c>
      <c r="D33" s="9" t="s">
        <v>110</v>
      </c>
      <c r="E33" s="9">
        <v>21</v>
      </c>
      <c r="F33" s="20">
        <v>45806</v>
      </c>
      <c r="G33" s="20">
        <v>45940</v>
      </c>
      <c r="H33" s="9" t="s">
        <v>103</v>
      </c>
      <c r="I33" s="21">
        <v>43500</v>
      </c>
      <c r="J33" s="9">
        <v>2</v>
      </c>
      <c r="K33" s="9">
        <v>2</v>
      </c>
      <c r="L33" s="9" t="s">
        <v>70</v>
      </c>
      <c r="M33" s="9" t="s">
        <v>80</v>
      </c>
      <c r="N33" s="9">
        <f>ROUND((IF(G33="",Analysis!$B$2,G33)-F33)/365.25,1)</f>
        <v>0.4</v>
      </c>
      <c r="O33" s="9">
        <f>IF(G33="","",YEAR(G33))</f>
        <v>2025</v>
      </c>
      <c r="P33" s="9" t="str">
        <f>IF(E33&lt;30,"&lt;30",IF(E33&lt;40,"30-39","40+"))</f>
        <v>&lt;30</v>
      </c>
    </row>
    <row r="34" spans="1:16" x14ac:dyDescent="0.25">
      <c r="A34" s="9" t="s">
        <v>283</v>
      </c>
      <c r="B34" s="9" t="s">
        <v>58</v>
      </c>
      <c r="C34" s="9" t="s">
        <v>101</v>
      </c>
      <c r="D34" s="9" t="s">
        <v>102</v>
      </c>
      <c r="E34" s="9">
        <v>28</v>
      </c>
      <c r="F34" s="20">
        <v>45812</v>
      </c>
      <c r="G34" s="20"/>
      <c r="H34" s="9" t="s">
        <v>51</v>
      </c>
      <c r="I34" s="21">
        <v>43900</v>
      </c>
      <c r="J34" s="9">
        <v>2</v>
      </c>
      <c r="K34" s="9">
        <v>4</v>
      </c>
      <c r="L34" s="9" t="s">
        <v>71</v>
      </c>
      <c r="M34" s="9"/>
      <c r="N34" s="9">
        <f>ROUND((IF(G34="",Analysis!$B$2,G34)-F34)/365.25,1)</f>
        <v>1.4</v>
      </c>
      <c r="O34" s="9" t="str">
        <f>IF(G34="","",YEAR(G34))</f>
        <v/>
      </c>
      <c r="P34" s="9" t="str">
        <f>IF(E34&lt;30,"&lt;30",IF(E34&lt;40,"30-39","40+"))</f>
        <v>&lt;30</v>
      </c>
    </row>
    <row r="35" spans="1:16" x14ac:dyDescent="0.25">
      <c r="A35" s="9" t="s">
        <v>389</v>
      </c>
      <c r="B35" s="9" t="s">
        <v>57</v>
      </c>
      <c r="C35" s="9" t="s">
        <v>147</v>
      </c>
      <c r="D35" s="9" t="s">
        <v>102</v>
      </c>
      <c r="E35" s="9">
        <v>31</v>
      </c>
      <c r="F35" s="20">
        <v>43401</v>
      </c>
      <c r="G35" s="20">
        <v>45716</v>
      </c>
      <c r="H35" s="9" t="s">
        <v>103</v>
      </c>
      <c r="I35" s="21">
        <v>44100</v>
      </c>
      <c r="J35" s="9">
        <v>2</v>
      </c>
      <c r="K35" s="9">
        <v>3</v>
      </c>
      <c r="L35" s="9" t="s">
        <v>71</v>
      </c>
      <c r="M35" s="9" t="s">
        <v>84</v>
      </c>
      <c r="N35" s="9">
        <f>ROUND((IF(G35="",Analysis!$B$2,G35)-F35)/365.25,1)</f>
        <v>6.3</v>
      </c>
      <c r="O35" s="9">
        <f>IF(G35="","",YEAR(G35))</f>
        <v>2025</v>
      </c>
      <c r="P35" s="9" t="str">
        <f>IF(E35&lt;30,"&lt;30",IF(E35&lt;40,"30-39","40+"))</f>
        <v>30-39</v>
      </c>
    </row>
    <row r="36" spans="1:16" x14ac:dyDescent="0.25">
      <c r="A36" s="9" t="s">
        <v>530</v>
      </c>
      <c r="B36" s="9" t="s">
        <v>58</v>
      </c>
      <c r="C36" s="9" t="s">
        <v>101</v>
      </c>
      <c r="D36" s="9" t="s">
        <v>102</v>
      </c>
      <c r="E36" s="9">
        <v>28</v>
      </c>
      <c r="F36" s="20">
        <v>45249</v>
      </c>
      <c r="G36" s="20"/>
      <c r="H36" s="9" t="s">
        <v>51</v>
      </c>
      <c r="I36" s="21">
        <v>44400</v>
      </c>
      <c r="J36" s="9">
        <v>2</v>
      </c>
      <c r="K36" s="9">
        <v>3</v>
      </c>
      <c r="L36" s="9" t="s">
        <v>70</v>
      </c>
      <c r="M36" s="9"/>
      <c r="N36" s="9">
        <f>ROUND((IF(G36="",Analysis!$B$2,G36)-F36)/365.25,1)</f>
        <v>2.9</v>
      </c>
      <c r="O36" s="9" t="str">
        <f>IF(G36="","",YEAR(G36))</f>
        <v/>
      </c>
      <c r="P36" s="9" t="str">
        <f>IF(E36&lt;30,"&lt;30",IF(E36&lt;40,"30-39","40+"))</f>
        <v>&lt;30</v>
      </c>
    </row>
    <row r="37" spans="1:16" x14ac:dyDescent="0.25">
      <c r="A37" s="9" t="s">
        <v>414</v>
      </c>
      <c r="B37" s="9" t="s">
        <v>62</v>
      </c>
      <c r="C37" s="9" t="s">
        <v>109</v>
      </c>
      <c r="D37" s="9" t="s">
        <v>110</v>
      </c>
      <c r="E37" s="9">
        <v>34</v>
      </c>
      <c r="F37" s="20">
        <v>43254</v>
      </c>
      <c r="G37" s="20"/>
      <c r="H37" s="9" t="s">
        <v>51</v>
      </c>
      <c r="I37" s="21">
        <v>46900</v>
      </c>
      <c r="J37" s="9">
        <v>2</v>
      </c>
      <c r="K37" s="9">
        <v>4</v>
      </c>
      <c r="L37" s="9" t="s">
        <v>71</v>
      </c>
      <c r="M37" s="9"/>
      <c r="N37" s="9">
        <f>ROUND((IF(G37="",Analysis!$B$2,G37)-F37)/365.25,1)</f>
        <v>8.4</v>
      </c>
      <c r="O37" s="9" t="str">
        <f>IF(G37="","",YEAR(G37))</f>
        <v/>
      </c>
      <c r="P37" s="9" t="str">
        <f>IF(E37&lt;30,"&lt;30",IF(E37&lt;40,"30-39","40+"))</f>
        <v>30-39</v>
      </c>
    </row>
    <row r="38" spans="1:16" x14ac:dyDescent="0.25">
      <c r="A38" s="9" t="s">
        <v>636</v>
      </c>
      <c r="B38" s="9" t="s">
        <v>57</v>
      </c>
      <c r="C38" s="9" t="s">
        <v>147</v>
      </c>
      <c r="D38" s="9" t="s">
        <v>102</v>
      </c>
      <c r="E38" s="9">
        <v>34</v>
      </c>
      <c r="F38" s="20">
        <v>44963</v>
      </c>
      <c r="G38" s="20"/>
      <c r="H38" s="9" t="s">
        <v>51</v>
      </c>
      <c r="I38" s="21">
        <v>48600</v>
      </c>
      <c r="J38" s="9">
        <v>2</v>
      </c>
      <c r="K38" s="9">
        <v>3</v>
      </c>
      <c r="L38" s="9" t="s">
        <v>70</v>
      </c>
      <c r="M38" s="9"/>
      <c r="N38" s="9">
        <f>ROUND((IF(G38="",Analysis!$B$2,G38)-F38)/365.25,1)</f>
        <v>3.7</v>
      </c>
      <c r="O38" s="9" t="str">
        <f>IF(G38="","",YEAR(G38))</f>
        <v/>
      </c>
      <c r="P38" s="9" t="str">
        <f>IF(E38&lt;30,"&lt;30",IF(E38&lt;40,"30-39","40+"))</f>
        <v>30-39</v>
      </c>
    </row>
    <row r="39" spans="1:16" x14ac:dyDescent="0.25">
      <c r="A39" s="9" t="s">
        <v>529</v>
      </c>
      <c r="B39" s="9" t="s">
        <v>57</v>
      </c>
      <c r="C39" s="9" t="s">
        <v>147</v>
      </c>
      <c r="D39" s="9" t="s">
        <v>102</v>
      </c>
      <c r="E39" s="9">
        <v>31</v>
      </c>
      <c r="F39" s="20">
        <v>45377</v>
      </c>
      <c r="G39" s="20"/>
      <c r="H39" s="9" t="s">
        <v>51</v>
      </c>
      <c r="I39" s="21">
        <v>49100</v>
      </c>
      <c r="J39" s="9">
        <v>2</v>
      </c>
      <c r="K39" s="9">
        <v>5</v>
      </c>
      <c r="L39" s="9" t="s">
        <v>70</v>
      </c>
      <c r="M39" s="9"/>
      <c r="N39" s="9">
        <f>ROUND((IF(G39="",Analysis!$B$2,G39)-F39)/365.25,1)</f>
        <v>2.6</v>
      </c>
      <c r="O39" s="9" t="str">
        <f>IF(G39="","",YEAR(G39))</f>
        <v/>
      </c>
      <c r="P39" s="9" t="str">
        <f>IF(E39&lt;30,"&lt;30",IF(E39&lt;40,"30-39","40+"))</f>
        <v>30-39</v>
      </c>
    </row>
    <row r="40" spans="1:16" x14ac:dyDescent="0.25">
      <c r="A40" s="9" t="s">
        <v>646</v>
      </c>
      <c r="B40" s="9" t="s">
        <v>62</v>
      </c>
      <c r="C40" s="9" t="s">
        <v>116</v>
      </c>
      <c r="D40" s="9" t="s">
        <v>110</v>
      </c>
      <c r="E40" s="9">
        <v>33</v>
      </c>
      <c r="F40" s="20">
        <v>43429</v>
      </c>
      <c r="G40" s="20"/>
      <c r="H40" s="9" t="s">
        <v>51</v>
      </c>
      <c r="I40" s="21">
        <v>49300</v>
      </c>
      <c r="J40" s="9">
        <v>2</v>
      </c>
      <c r="K40" s="9">
        <v>5</v>
      </c>
      <c r="L40" s="9" t="s">
        <v>71</v>
      </c>
      <c r="M40" s="9"/>
      <c r="N40" s="9">
        <f>ROUND((IF(G40="",Analysis!$B$2,G40)-F40)/365.25,1)</f>
        <v>7.9</v>
      </c>
      <c r="O40" s="9" t="str">
        <f>IF(G40="","",YEAR(G40))</f>
        <v/>
      </c>
      <c r="P40" s="9" t="str">
        <f>IF(E40&lt;30,"&lt;30",IF(E40&lt;40,"30-39","40+"))</f>
        <v>30-39</v>
      </c>
    </row>
    <row r="41" spans="1:16" x14ac:dyDescent="0.25">
      <c r="A41" s="9" t="s">
        <v>663</v>
      </c>
      <c r="B41" s="9" t="s">
        <v>61</v>
      </c>
      <c r="C41" s="9" t="s">
        <v>123</v>
      </c>
      <c r="D41" s="9" t="s">
        <v>110</v>
      </c>
      <c r="E41" s="9">
        <v>26</v>
      </c>
      <c r="F41" s="20">
        <v>44027</v>
      </c>
      <c r="G41" s="20">
        <v>45308</v>
      </c>
      <c r="H41" s="9" t="s">
        <v>103</v>
      </c>
      <c r="I41" s="21">
        <v>50600</v>
      </c>
      <c r="J41" s="9">
        <v>2</v>
      </c>
      <c r="K41" s="9">
        <v>3</v>
      </c>
      <c r="L41" s="9" t="s">
        <v>71</v>
      </c>
      <c r="M41" s="9" t="s">
        <v>82</v>
      </c>
      <c r="N41" s="9">
        <f>ROUND((IF(G41="",Analysis!$B$2,G41)-F41)/365.25,1)</f>
        <v>3.5</v>
      </c>
      <c r="O41" s="9">
        <f>IF(G41="","",YEAR(G41))</f>
        <v>2024</v>
      </c>
      <c r="P41" s="9" t="str">
        <f>IF(E41&lt;30,"&lt;30",IF(E41&lt;40,"30-39","40+"))</f>
        <v>&lt;30</v>
      </c>
    </row>
    <row r="42" spans="1:16" x14ac:dyDescent="0.25">
      <c r="A42" s="9" t="s">
        <v>504</v>
      </c>
      <c r="B42" s="9" t="s">
        <v>57</v>
      </c>
      <c r="C42" s="9" t="s">
        <v>147</v>
      </c>
      <c r="D42" s="9" t="s">
        <v>102</v>
      </c>
      <c r="E42" s="9">
        <v>31</v>
      </c>
      <c r="F42" s="20">
        <v>43568</v>
      </c>
      <c r="G42" s="20"/>
      <c r="H42" s="9" t="s">
        <v>51</v>
      </c>
      <c r="I42" s="21">
        <v>51000</v>
      </c>
      <c r="J42" s="9">
        <v>2</v>
      </c>
      <c r="K42" s="9">
        <v>3</v>
      </c>
      <c r="L42" s="9" t="s">
        <v>71</v>
      </c>
      <c r="M42" s="9"/>
      <c r="N42" s="9">
        <f>ROUND((IF(G42="",Analysis!$B$2,G42)-F42)/365.25,1)</f>
        <v>7.5</v>
      </c>
      <c r="O42" s="9" t="str">
        <f>IF(G42="","",YEAR(G42))</f>
        <v/>
      </c>
      <c r="P42" s="9" t="str">
        <f>IF(E42&lt;30,"&lt;30",IF(E42&lt;40,"30-39","40+"))</f>
        <v>30-39</v>
      </c>
    </row>
    <row r="43" spans="1:16" x14ac:dyDescent="0.25">
      <c r="A43" s="9" t="s">
        <v>602</v>
      </c>
      <c r="B43" s="9" t="s">
        <v>61</v>
      </c>
      <c r="C43" s="9" t="s">
        <v>123</v>
      </c>
      <c r="D43" s="9" t="s">
        <v>110</v>
      </c>
      <c r="E43" s="9">
        <v>30</v>
      </c>
      <c r="F43" s="20">
        <v>45758</v>
      </c>
      <c r="G43" s="20"/>
      <c r="H43" s="9" t="s">
        <v>51</v>
      </c>
      <c r="I43" s="21">
        <v>51400</v>
      </c>
      <c r="J43" s="9">
        <v>2</v>
      </c>
      <c r="K43" s="9">
        <v>2</v>
      </c>
      <c r="L43" s="9" t="s">
        <v>71</v>
      </c>
      <c r="M43" s="9"/>
      <c r="N43" s="9">
        <f>ROUND((IF(G43="",Analysis!$B$2,G43)-F43)/365.25,1)</f>
        <v>1.5</v>
      </c>
      <c r="O43" s="9" t="str">
        <f>IF(G43="","",YEAR(G43))</f>
        <v/>
      </c>
      <c r="P43" s="9" t="str">
        <f>IF(E43&lt;30,"&lt;30",IF(E43&lt;40,"30-39","40+"))</f>
        <v>30-39</v>
      </c>
    </row>
    <row r="44" spans="1:16" x14ac:dyDescent="0.25">
      <c r="A44" s="9" t="s">
        <v>335</v>
      </c>
      <c r="B44" s="9" t="s">
        <v>61</v>
      </c>
      <c r="C44" s="9" t="s">
        <v>123</v>
      </c>
      <c r="D44" s="9" t="s">
        <v>110</v>
      </c>
      <c r="E44" s="9">
        <v>32</v>
      </c>
      <c r="F44" s="20">
        <v>43179</v>
      </c>
      <c r="G44" s="20"/>
      <c r="H44" s="9" t="s">
        <v>51</v>
      </c>
      <c r="I44" s="21">
        <v>51800</v>
      </c>
      <c r="J44" s="9">
        <v>2</v>
      </c>
      <c r="K44" s="9">
        <v>4</v>
      </c>
      <c r="L44" s="9" t="s">
        <v>70</v>
      </c>
      <c r="M44" s="9"/>
      <c r="N44" s="9">
        <f>ROUND((IF(G44="",Analysis!$B$2,G44)-F44)/365.25,1)</f>
        <v>8.6</v>
      </c>
      <c r="O44" s="9" t="str">
        <f>IF(G44="","",YEAR(G44))</f>
        <v/>
      </c>
      <c r="P44" s="9" t="str">
        <f>IF(E44&lt;30,"&lt;30",IF(E44&lt;40,"30-39","40+"))</f>
        <v>30-39</v>
      </c>
    </row>
    <row r="45" spans="1:16" x14ac:dyDescent="0.25">
      <c r="A45" s="9" t="s">
        <v>474</v>
      </c>
      <c r="B45" s="9" t="s">
        <v>58</v>
      </c>
      <c r="C45" s="9" t="s">
        <v>101</v>
      </c>
      <c r="D45" s="9" t="s">
        <v>102</v>
      </c>
      <c r="E45" s="9">
        <v>44</v>
      </c>
      <c r="F45" s="20">
        <v>45409</v>
      </c>
      <c r="G45" s="20"/>
      <c r="H45" s="9" t="s">
        <v>51</v>
      </c>
      <c r="I45" s="21">
        <v>52400</v>
      </c>
      <c r="J45" s="9">
        <v>2</v>
      </c>
      <c r="K45" s="9">
        <v>5</v>
      </c>
      <c r="L45" s="9" t="s">
        <v>70</v>
      </c>
      <c r="M45" s="9"/>
      <c r="N45" s="9">
        <f>ROUND((IF(G45="",Analysis!$B$2,G45)-F45)/365.25,1)</f>
        <v>2.5</v>
      </c>
      <c r="O45" s="9" t="str">
        <f>IF(G45="","",YEAR(G45))</f>
        <v/>
      </c>
      <c r="P45" s="9" t="str">
        <f>IF(E45&lt;30,"&lt;30",IF(E45&lt;40,"30-39","40+"))</f>
        <v>40+</v>
      </c>
    </row>
    <row r="46" spans="1:16" x14ac:dyDescent="0.25">
      <c r="A46" s="9" t="s">
        <v>400</v>
      </c>
      <c r="B46" s="9" t="s">
        <v>57</v>
      </c>
      <c r="C46" s="9" t="s">
        <v>112</v>
      </c>
      <c r="D46" s="9" t="s">
        <v>102</v>
      </c>
      <c r="E46" s="9">
        <v>32</v>
      </c>
      <c r="F46" s="20">
        <v>43735</v>
      </c>
      <c r="G46" s="20"/>
      <c r="H46" s="9" t="s">
        <v>51</v>
      </c>
      <c r="I46" s="21">
        <v>52900</v>
      </c>
      <c r="J46" s="9">
        <v>2</v>
      </c>
      <c r="K46" s="9">
        <v>2</v>
      </c>
      <c r="L46" s="9" t="s">
        <v>70</v>
      </c>
      <c r="M46" s="9"/>
      <c r="N46" s="9">
        <f>ROUND((IF(G46="",Analysis!$B$2,G46)-F46)/365.25,1)</f>
        <v>7.1</v>
      </c>
      <c r="O46" s="9" t="str">
        <f>IF(G46="","",YEAR(G46))</f>
        <v/>
      </c>
      <c r="P46" s="9" t="str">
        <f>IF(E46&lt;30,"&lt;30",IF(E46&lt;40,"30-39","40+"))</f>
        <v>30-39</v>
      </c>
    </row>
    <row r="47" spans="1:16" x14ac:dyDescent="0.25">
      <c r="A47" s="9" t="s">
        <v>255</v>
      </c>
      <c r="B47" s="9" t="s">
        <v>57</v>
      </c>
      <c r="C47" s="9" t="s">
        <v>112</v>
      </c>
      <c r="D47" s="9" t="s">
        <v>110</v>
      </c>
      <c r="E47" s="9">
        <v>38</v>
      </c>
      <c r="F47" s="20">
        <v>44906</v>
      </c>
      <c r="G47" s="20">
        <v>46100</v>
      </c>
      <c r="H47" s="9" t="s">
        <v>103</v>
      </c>
      <c r="I47" s="21">
        <v>55400</v>
      </c>
      <c r="J47" s="9">
        <v>2</v>
      </c>
      <c r="K47" s="9">
        <v>3</v>
      </c>
      <c r="L47" s="9" t="s">
        <v>70</v>
      </c>
      <c r="M47" s="9" t="s">
        <v>81</v>
      </c>
      <c r="N47" s="9">
        <f>ROUND((IF(G47="",Analysis!$B$2,G47)-F47)/365.25,1)</f>
        <v>3.3</v>
      </c>
      <c r="O47" s="9">
        <f>IF(G47="","",YEAR(G47))</f>
        <v>2026</v>
      </c>
      <c r="P47" s="9" t="str">
        <f>IF(E47&lt;30,"&lt;30",IF(E47&lt;40,"30-39","40+"))</f>
        <v>30-39</v>
      </c>
    </row>
    <row r="48" spans="1:16" x14ac:dyDescent="0.25">
      <c r="A48" s="9" t="s">
        <v>317</v>
      </c>
      <c r="B48" s="9" t="s">
        <v>58</v>
      </c>
      <c r="C48" s="9" t="s">
        <v>121</v>
      </c>
      <c r="D48" s="9" t="s">
        <v>110</v>
      </c>
      <c r="E48" s="9">
        <v>31</v>
      </c>
      <c r="F48" s="20">
        <v>43613</v>
      </c>
      <c r="G48" s="20"/>
      <c r="H48" s="9" t="s">
        <v>51</v>
      </c>
      <c r="I48" s="21">
        <v>55600</v>
      </c>
      <c r="J48" s="9">
        <v>2</v>
      </c>
      <c r="K48" s="9">
        <v>4</v>
      </c>
      <c r="L48" s="9" t="s">
        <v>71</v>
      </c>
      <c r="M48" s="9"/>
      <c r="N48" s="9">
        <f>ROUND((IF(G48="",Analysis!$B$2,G48)-F48)/365.25,1)</f>
        <v>7.4</v>
      </c>
      <c r="O48" s="9" t="str">
        <f>IF(G48="","",YEAR(G48))</f>
        <v/>
      </c>
      <c r="P48" s="9" t="str">
        <f>IF(E48&lt;30,"&lt;30",IF(E48&lt;40,"30-39","40+"))</f>
        <v>30-39</v>
      </c>
    </row>
    <row r="49" spans="1:16" x14ac:dyDescent="0.25">
      <c r="A49" s="9" t="s">
        <v>581</v>
      </c>
      <c r="B49" s="9" t="s">
        <v>62</v>
      </c>
      <c r="C49" s="9" t="s">
        <v>150</v>
      </c>
      <c r="D49" s="9" t="s">
        <v>102</v>
      </c>
      <c r="E49" s="9">
        <v>35</v>
      </c>
      <c r="F49" s="20">
        <v>44730</v>
      </c>
      <c r="G49" s="20"/>
      <c r="H49" s="9" t="s">
        <v>51</v>
      </c>
      <c r="I49" s="21">
        <v>58600</v>
      </c>
      <c r="J49" s="9">
        <v>2</v>
      </c>
      <c r="K49" s="9">
        <v>4</v>
      </c>
      <c r="L49" s="9" t="s">
        <v>70</v>
      </c>
      <c r="M49" s="9"/>
      <c r="N49" s="9">
        <f>ROUND((IF(G49="",Analysis!$B$2,G49)-F49)/365.25,1)</f>
        <v>4.4000000000000004</v>
      </c>
      <c r="O49" s="9" t="str">
        <f>IF(G49="","",YEAR(G49))</f>
        <v/>
      </c>
      <c r="P49" s="9" t="str">
        <f>IF(E49&lt;30,"&lt;30",IF(E49&lt;40,"30-39","40+"))</f>
        <v>30-39</v>
      </c>
    </row>
    <row r="50" spans="1:16" x14ac:dyDescent="0.25">
      <c r="A50" s="9" t="s">
        <v>183</v>
      </c>
      <c r="B50" s="9" t="s">
        <v>63</v>
      </c>
      <c r="C50" s="9" t="s">
        <v>125</v>
      </c>
      <c r="D50" s="9" t="s">
        <v>110</v>
      </c>
      <c r="E50" s="9">
        <v>22</v>
      </c>
      <c r="F50" s="20">
        <v>45345</v>
      </c>
      <c r="G50" s="20"/>
      <c r="H50" s="9" t="s">
        <v>51</v>
      </c>
      <c r="I50" s="21">
        <v>59000</v>
      </c>
      <c r="J50" s="9">
        <v>2</v>
      </c>
      <c r="K50" s="9">
        <v>3</v>
      </c>
      <c r="L50" s="9" t="s">
        <v>70</v>
      </c>
      <c r="M50" s="9"/>
      <c r="N50" s="9">
        <f>ROUND((IF(G50="",Analysis!$B$2,G50)-F50)/365.25,1)</f>
        <v>2.7</v>
      </c>
      <c r="O50" s="9" t="str">
        <f>IF(G50="","",YEAR(G50))</f>
        <v/>
      </c>
      <c r="P50" s="9" t="str">
        <f>IF(E50&lt;30,"&lt;30",IF(E50&lt;40,"30-39","40+"))</f>
        <v>&lt;30</v>
      </c>
    </row>
    <row r="51" spans="1:16" x14ac:dyDescent="0.25">
      <c r="A51" s="9" t="s">
        <v>680</v>
      </c>
      <c r="B51" s="9" t="s">
        <v>58</v>
      </c>
      <c r="C51" s="9" t="s">
        <v>121</v>
      </c>
      <c r="D51" s="9" t="s">
        <v>110</v>
      </c>
      <c r="E51" s="9">
        <v>21</v>
      </c>
      <c r="F51" s="20">
        <v>43734</v>
      </c>
      <c r="G51" s="20"/>
      <c r="H51" s="9" t="s">
        <v>51</v>
      </c>
      <c r="I51" s="21">
        <v>59900</v>
      </c>
      <c r="J51" s="9">
        <v>2</v>
      </c>
      <c r="K51" s="9">
        <v>2</v>
      </c>
      <c r="L51" s="9" t="s">
        <v>71</v>
      </c>
      <c r="M51" s="9"/>
      <c r="N51" s="9">
        <f>ROUND((IF(G51="",Analysis!$B$2,G51)-F51)/365.25,1)</f>
        <v>7.1</v>
      </c>
      <c r="O51" s="9" t="str">
        <f>IF(G51="","",YEAR(G51))</f>
        <v/>
      </c>
      <c r="P51" s="9" t="str">
        <f>IF(E51&lt;30,"&lt;30",IF(E51&lt;40,"30-39","40+"))</f>
        <v>&lt;30</v>
      </c>
    </row>
    <row r="52" spans="1:16" x14ac:dyDescent="0.25">
      <c r="A52" s="9" t="s">
        <v>597</v>
      </c>
      <c r="B52" s="9" t="s">
        <v>59</v>
      </c>
      <c r="C52" s="9" t="s">
        <v>137</v>
      </c>
      <c r="D52" s="9" t="s">
        <v>102</v>
      </c>
      <c r="E52" s="9">
        <v>21</v>
      </c>
      <c r="F52" s="20">
        <v>44625</v>
      </c>
      <c r="G52" s="20">
        <v>46037</v>
      </c>
      <c r="H52" s="9" t="s">
        <v>103</v>
      </c>
      <c r="I52" s="21">
        <v>60000</v>
      </c>
      <c r="J52" s="9">
        <v>2</v>
      </c>
      <c r="K52" s="9">
        <v>5</v>
      </c>
      <c r="L52" s="9" t="s">
        <v>71</v>
      </c>
      <c r="M52" s="9" t="s">
        <v>82</v>
      </c>
      <c r="N52" s="9">
        <f>ROUND((IF(G52="",Analysis!$B$2,G52)-F52)/365.25,1)</f>
        <v>3.9</v>
      </c>
      <c r="O52" s="9">
        <f>IF(G52="","",YEAR(G52))</f>
        <v>2026</v>
      </c>
      <c r="P52" s="9" t="str">
        <f>IF(E52&lt;30,"&lt;30",IF(E52&lt;40,"30-39","40+"))</f>
        <v>&lt;30</v>
      </c>
    </row>
    <row r="53" spans="1:16" x14ac:dyDescent="0.25">
      <c r="A53" s="9" t="s">
        <v>265</v>
      </c>
      <c r="B53" s="9" t="s">
        <v>62</v>
      </c>
      <c r="C53" s="9" t="s">
        <v>150</v>
      </c>
      <c r="D53" s="9" t="s">
        <v>102</v>
      </c>
      <c r="E53" s="9">
        <v>27</v>
      </c>
      <c r="F53" s="20">
        <v>45627</v>
      </c>
      <c r="G53" s="20"/>
      <c r="H53" s="9" t="s">
        <v>51</v>
      </c>
      <c r="I53" s="21">
        <v>60100</v>
      </c>
      <c r="J53" s="9">
        <v>2</v>
      </c>
      <c r="K53" s="9">
        <v>1</v>
      </c>
      <c r="L53" s="9" t="s">
        <v>70</v>
      </c>
      <c r="M53" s="9"/>
      <c r="N53" s="9">
        <f>ROUND((IF(G53="",Analysis!$B$2,G53)-F53)/365.25,1)</f>
        <v>1.9</v>
      </c>
      <c r="O53" s="9" t="str">
        <f>IF(G53="","",YEAR(G53))</f>
        <v/>
      </c>
      <c r="P53" s="9" t="str">
        <f>IF(E53&lt;30,"&lt;30",IF(E53&lt;40,"30-39","40+"))</f>
        <v>&lt;30</v>
      </c>
    </row>
    <row r="54" spans="1:16" x14ac:dyDescent="0.25">
      <c r="A54" s="9" t="s">
        <v>605</v>
      </c>
      <c r="B54" s="9" t="s">
        <v>58</v>
      </c>
      <c r="C54" s="9" t="s">
        <v>121</v>
      </c>
      <c r="D54" s="9" t="s">
        <v>102</v>
      </c>
      <c r="E54" s="9">
        <v>31</v>
      </c>
      <c r="F54" s="20">
        <v>44492</v>
      </c>
      <c r="G54" s="20">
        <v>45878</v>
      </c>
      <c r="H54" s="9" t="s">
        <v>103</v>
      </c>
      <c r="I54" s="21">
        <v>60600</v>
      </c>
      <c r="J54" s="9">
        <v>2</v>
      </c>
      <c r="K54" s="9">
        <v>2</v>
      </c>
      <c r="L54" s="9" t="s">
        <v>71</v>
      </c>
      <c r="M54" s="9" t="s">
        <v>79</v>
      </c>
      <c r="N54" s="9">
        <f>ROUND((IF(G54="",Analysis!$B$2,G54)-F54)/365.25,1)</f>
        <v>3.8</v>
      </c>
      <c r="O54" s="9">
        <f>IF(G54="","",YEAR(G54))</f>
        <v>2025</v>
      </c>
      <c r="P54" s="9" t="str">
        <f>IF(E54&lt;30,"&lt;30",IF(E54&lt;40,"30-39","40+"))</f>
        <v>30-39</v>
      </c>
    </row>
    <row r="55" spans="1:16" x14ac:dyDescent="0.25">
      <c r="A55" s="9" t="s">
        <v>507</v>
      </c>
      <c r="B55" s="9" t="s">
        <v>58</v>
      </c>
      <c r="C55" s="9" t="s">
        <v>121</v>
      </c>
      <c r="D55" s="9" t="s">
        <v>110</v>
      </c>
      <c r="E55" s="9">
        <v>33</v>
      </c>
      <c r="F55" s="20">
        <v>43700</v>
      </c>
      <c r="G55" s="20"/>
      <c r="H55" s="9" t="s">
        <v>51</v>
      </c>
      <c r="I55" s="21">
        <v>62600</v>
      </c>
      <c r="J55" s="9">
        <v>2</v>
      </c>
      <c r="K55" s="9">
        <v>2</v>
      </c>
      <c r="L55" s="9" t="s">
        <v>70</v>
      </c>
      <c r="M55" s="9"/>
      <c r="N55" s="9">
        <f>ROUND((IF(G55="",Analysis!$B$2,G55)-F55)/365.25,1)</f>
        <v>7.2</v>
      </c>
      <c r="O55" s="9" t="str">
        <f>IF(G55="","",YEAR(G55))</f>
        <v/>
      </c>
      <c r="P55" s="9" t="str">
        <f>IF(E55&lt;30,"&lt;30",IF(E55&lt;40,"30-39","40+"))</f>
        <v>30-39</v>
      </c>
    </row>
    <row r="56" spans="1:16" x14ac:dyDescent="0.25">
      <c r="A56" s="9" t="s">
        <v>393</v>
      </c>
      <c r="B56" s="9" t="s">
        <v>61</v>
      </c>
      <c r="C56" s="9" t="s">
        <v>123</v>
      </c>
      <c r="D56" s="9" t="s">
        <v>193</v>
      </c>
      <c r="E56" s="9">
        <v>23</v>
      </c>
      <c r="F56" s="20">
        <v>45723</v>
      </c>
      <c r="G56" s="20"/>
      <c r="H56" s="9" t="s">
        <v>51</v>
      </c>
      <c r="I56" s="21">
        <v>62700</v>
      </c>
      <c r="J56" s="9">
        <v>2</v>
      </c>
      <c r="K56" s="9">
        <v>3</v>
      </c>
      <c r="L56" s="9" t="s">
        <v>70</v>
      </c>
      <c r="M56" s="9"/>
      <c r="N56" s="9">
        <f>ROUND((IF(G56="",Analysis!$B$2,G56)-F56)/365.25,1)</f>
        <v>1.6</v>
      </c>
      <c r="O56" s="9" t="str">
        <f>IF(G56="","",YEAR(G56))</f>
        <v/>
      </c>
      <c r="P56" s="9" t="str">
        <f>IF(E56&lt;30,"&lt;30",IF(E56&lt;40,"30-39","40+"))</f>
        <v>&lt;30</v>
      </c>
    </row>
    <row r="57" spans="1:16" x14ac:dyDescent="0.25">
      <c r="A57" s="9" t="s">
        <v>143</v>
      </c>
      <c r="B57" s="9" t="s">
        <v>58</v>
      </c>
      <c r="C57" s="9" t="s">
        <v>121</v>
      </c>
      <c r="D57" s="9" t="s">
        <v>102</v>
      </c>
      <c r="E57" s="9">
        <v>29</v>
      </c>
      <c r="F57" s="20">
        <v>43415</v>
      </c>
      <c r="G57" s="20"/>
      <c r="H57" s="9" t="s">
        <v>51</v>
      </c>
      <c r="I57" s="21">
        <v>62900</v>
      </c>
      <c r="J57" s="9">
        <v>2</v>
      </c>
      <c r="K57" s="9">
        <v>5</v>
      </c>
      <c r="L57" s="9" t="s">
        <v>71</v>
      </c>
      <c r="M57" s="9"/>
      <c r="N57" s="9">
        <f>ROUND((IF(G57="",Analysis!$B$2,G57)-F57)/365.25,1)</f>
        <v>8</v>
      </c>
      <c r="O57" s="9" t="str">
        <f>IF(G57="","",YEAR(G57))</f>
        <v/>
      </c>
      <c r="P57" s="9" t="str">
        <f>IF(E57&lt;30,"&lt;30",IF(E57&lt;40,"30-39","40+"))</f>
        <v>&lt;30</v>
      </c>
    </row>
    <row r="58" spans="1:16" x14ac:dyDescent="0.25">
      <c r="A58" s="9" t="s">
        <v>247</v>
      </c>
      <c r="B58" s="9" t="s">
        <v>61</v>
      </c>
      <c r="C58" s="9" t="s">
        <v>123</v>
      </c>
      <c r="D58" s="9" t="s">
        <v>102</v>
      </c>
      <c r="E58" s="9">
        <v>32</v>
      </c>
      <c r="F58" s="20">
        <v>45926</v>
      </c>
      <c r="G58" s="20"/>
      <c r="H58" s="9" t="s">
        <v>51</v>
      </c>
      <c r="I58" s="21">
        <v>63400</v>
      </c>
      <c r="J58" s="9">
        <v>2</v>
      </c>
      <c r="K58" s="9">
        <v>3</v>
      </c>
      <c r="L58" s="9" t="s">
        <v>70</v>
      </c>
      <c r="M58" s="9"/>
      <c r="N58" s="9">
        <f>ROUND((IF(G58="",Analysis!$B$2,G58)-F58)/365.25,1)</f>
        <v>1.1000000000000001</v>
      </c>
      <c r="O58" s="9" t="str">
        <f>IF(G58="","",YEAR(G58))</f>
        <v/>
      </c>
      <c r="P58" s="9" t="str">
        <f>IF(E58&lt;30,"&lt;30",IF(E58&lt;40,"30-39","40+"))</f>
        <v>30-39</v>
      </c>
    </row>
    <row r="59" spans="1:16" x14ac:dyDescent="0.25">
      <c r="A59" s="9" t="s">
        <v>409</v>
      </c>
      <c r="B59" s="9" t="s">
        <v>58</v>
      </c>
      <c r="C59" s="9" t="s">
        <v>121</v>
      </c>
      <c r="D59" s="9" t="s">
        <v>110</v>
      </c>
      <c r="E59" s="9">
        <v>22</v>
      </c>
      <c r="F59" s="20">
        <v>44636</v>
      </c>
      <c r="G59" s="20"/>
      <c r="H59" s="9" t="s">
        <v>51</v>
      </c>
      <c r="I59" s="21">
        <v>65900</v>
      </c>
      <c r="J59" s="9">
        <v>2</v>
      </c>
      <c r="K59" s="9">
        <v>3</v>
      </c>
      <c r="L59" s="9" t="s">
        <v>70</v>
      </c>
      <c r="M59" s="9"/>
      <c r="N59" s="9">
        <f>ROUND((IF(G59="",Analysis!$B$2,G59)-F59)/365.25,1)</f>
        <v>4.5999999999999996</v>
      </c>
      <c r="O59" s="9" t="str">
        <f>IF(G59="","",YEAR(G59))</f>
        <v/>
      </c>
      <c r="P59" s="9" t="str">
        <f>IF(E59&lt;30,"&lt;30",IF(E59&lt;40,"30-39","40+"))</f>
        <v>&lt;30</v>
      </c>
    </row>
    <row r="60" spans="1:16" x14ac:dyDescent="0.25">
      <c r="A60" s="9" t="s">
        <v>660</v>
      </c>
      <c r="B60" s="9" t="s">
        <v>59</v>
      </c>
      <c r="C60" s="9" t="s">
        <v>137</v>
      </c>
      <c r="D60" s="9" t="s">
        <v>102</v>
      </c>
      <c r="E60" s="9">
        <v>37</v>
      </c>
      <c r="F60" s="20">
        <v>43438</v>
      </c>
      <c r="G60" s="20"/>
      <c r="H60" s="9" t="s">
        <v>51</v>
      </c>
      <c r="I60" s="21">
        <v>67100</v>
      </c>
      <c r="J60" s="9">
        <v>2</v>
      </c>
      <c r="K60" s="9">
        <v>3</v>
      </c>
      <c r="L60" s="9" t="s">
        <v>71</v>
      </c>
      <c r="M60" s="9"/>
      <c r="N60" s="9">
        <f>ROUND((IF(G60="",Analysis!$B$2,G60)-F60)/365.25,1)</f>
        <v>7.9</v>
      </c>
      <c r="O60" s="9" t="str">
        <f>IF(G60="","",YEAR(G60))</f>
        <v/>
      </c>
      <c r="P60" s="9" t="str">
        <f>IF(E60&lt;30,"&lt;30",IF(E60&lt;40,"30-39","40+"))</f>
        <v>30-39</v>
      </c>
    </row>
    <row r="61" spans="1:16" x14ac:dyDescent="0.25">
      <c r="A61" s="9" t="s">
        <v>216</v>
      </c>
      <c r="B61" s="9" t="s">
        <v>57</v>
      </c>
      <c r="C61" s="9" t="s">
        <v>139</v>
      </c>
      <c r="D61" s="9" t="s">
        <v>102</v>
      </c>
      <c r="E61" s="9">
        <v>37</v>
      </c>
      <c r="F61" s="20">
        <v>43349</v>
      </c>
      <c r="G61" s="20"/>
      <c r="H61" s="9" t="s">
        <v>51</v>
      </c>
      <c r="I61" s="21">
        <v>70700</v>
      </c>
      <c r="J61" s="9">
        <v>2</v>
      </c>
      <c r="K61" s="9">
        <v>2</v>
      </c>
      <c r="L61" s="9" t="s">
        <v>71</v>
      </c>
      <c r="M61" s="9"/>
      <c r="N61" s="9">
        <f>ROUND((IF(G61="",Analysis!$B$2,G61)-F61)/365.25,1)</f>
        <v>8.1</v>
      </c>
      <c r="O61" s="9" t="str">
        <f>IF(G61="","",YEAR(G61))</f>
        <v/>
      </c>
      <c r="P61" s="9" t="str">
        <f>IF(E61&lt;30,"&lt;30",IF(E61&lt;40,"30-39","40+"))</f>
        <v>30-39</v>
      </c>
    </row>
    <row r="62" spans="1:16" x14ac:dyDescent="0.25">
      <c r="A62" s="9" t="s">
        <v>653</v>
      </c>
      <c r="B62" s="9" t="s">
        <v>63</v>
      </c>
      <c r="C62" s="9" t="s">
        <v>105</v>
      </c>
      <c r="D62" s="9" t="s">
        <v>102</v>
      </c>
      <c r="E62" s="9">
        <v>39</v>
      </c>
      <c r="F62" s="20">
        <v>44957</v>
      </c>
      <c r="G62" s="20">
        <v>45760</v>
      </c>
      <c r="H62" s="9" t="s">
        <v>103</v>
      </c>
      <c r="I62" s="21">
        <v>71000</v>
      </c>
      <c r="J62" s="9">
        <v>2</v>
      </c>
      <c r="K62" s="9">
        <v>1</v>
      </c>
      <c r="L62" s="9" t="s">
        <v>71</v>
      </c>
      <c r="M62" s="9" t="s">
        <v>81</v>
      </c>
      <c r="N62" s="9">
        <f>ROUND((IF(G62="",Analysis!$B$2,G62)-F62)/365.25,1)</f>
        <v>2.2000000000000002</v>
      </c>
      <c r="O62" s="9">
        <f>IF(G62="","",YEAR(G62))</f>
        <v>2025</v>
      </c>
      <c r="P62" s="9" t="str">
        <f>IF(E62&lt;30,"&lt;30",IF(E62&lt;40,"30-39","40+"))</f>
        <v>30-39</v>
      </c>
    </row>
    <row r="63" spans="1:16" x14ac:dyDescent="0.25">
      <c r="A63" s="9" t="s">
        <v>104</v>
      </c>
      <c r="B63" s="9" t="s">
        <v>63</v>
      </c>
      <c r="C63" s="9" t="s">
        <v>105</v>
      </c>
      <c r="D63" s="9" t="s">
        <v>102</v>
      </c>
      <c r="E63" s="9">
        <v>36</v>
      </c>
      <c r="F63" s="20">
        <v>43323</v>
      </c>
      <c r="G63" s="20"/>
      <c r="H63" s="9" t="s">
        <v>51</v>
      </c>
      <c r="I63" s="21">
        <v>71400</v>
      </c>
      <c r="J63" s="9">
        <v>2</v>
      </c>
      <c r="K63" s="9">
        <v>4</v>
      </c>
      <c r="L63" s="9" t="s">
        <v>71</v>
      </c>
      <c r="M63" s="9"/>
      <c r="N63" s="9">
        <f>ROUND((IF(G63="",Analysis!$B$2,G63)-F63)/365.25,1)</f>
        <v>8.1999999999999993</v>
      </c>
      <c r="O63" s="9" t="str">
        <f>IF(G63="","",YEAR(G63))</f>
        <v/>
      </c>
      <c r="P63" s="9" t="str">
        <f>IF(E63&lt;30,"&lt;30",IF(E63&lt;40,"30-39","40+"))</f>
        <v>30-39</v>
      </c>
    </row>
    <row r="64" spans="1:16" x14ac:dyDescent="0.25">
      <c r="A64" s="9" t="s">
        <v>631</v>
      </c>
      <c r="B64" s="9" t="s">
        <v>63</v>
      </c>
      <c r="C64" s="9" t="s">
        <v>105</v>
      </c>
      <c r="D64" s="9" t="s">
        <v>102</v>
      </c>
      <c r="E64" s="9">
        <v>36</v>
      </c>
      <c r="F64" s="20">
        <v>45355</v>
      </c>
      <c r="G64" s="20"/>
      <c r="H64" s="9" t="s">
        <v>51</v>
      </c>
      <c r="I64" s="21">
        <v>72600</v>
      </c>
      <c r="J64" s="9">
        <v>2</v>
      </c>
      <c r="K64" s="9">
        <v>3</v>
      </c>
      <c r="L64" s="9" t="s">
        <v>70</v>
      </c>
      <c r="M64" s="9"/>
      <c r="N64" s="9">
        <f>ROUND((IF(G64="",Analysis!$B$2,G64)-F64)/365.25,1)</f>
        <v>2.6</v>
      </c>
      <c r="O64" s="9" t="str">
        <f>IF(G64="","",YEAR(G64))</f>
        <v/>
      </c>
      <c r="P64" s="9" t="str">
        <f>IF(E64&lt;30,"&lt;30",IF(E64&lt;40,"30-39","40+"))</f>
        <v>30-39</v>
      </c>
    </row>
    <row r="65" spans="1:16" x14ac:dyDescent="0.25">
      <c r="A65" s="9" t="s">
        <v>230</v>
      </c>
      <c r="B65" s="9" t="s">
        <v>57</v>
      </c>
      <c r="C65" s="9" t="s">
        <v>139</v>
      </c>
      <c r="D65" s="9" t="s">
        <v>110</v>
      </c>
      <c r="E65" s="9">
        <v>22</v>
      </c>
      <c r="F65" s="20">
        <v>44991</v>
      </c>
      <c r="G65" s="20"/>
      <c r="H65" s="9" t="s">
        <v>51</v>
      </c>
      <c r="I65" s="21">
        <v>72800</v>
      </c>
      <c r="J65" s="9">
        <v>2</v>
      </c>
      <c r="K65" s="9">
        <v>4</v>
      </c>
      <c r="L65" s="9" t="s">
        <v>71</v>
      </c>
      <c r="M65" s="9"/>
      <c r="N65" s="9">
        <f>ROUND((IF(G65="",Analysis!$B$2,G65)-F65)/365.25,1)</f>
        <v>3.6</v>
      </c>
      <c r="O65" s="9" t="str">
        <f>IF(G65="","",YEAR(G65))</f>
        <v/>
      </c>
      <c r="P65" s="9" t="str">
        <f>IF(E65&lt;30,"&lt;30",IF(E65&lt;40,"30-39","40+"))</f>
        <v>&lt;30</v>
      </c>
    </row>
    <row r="66" spans="1:16" x14ac:dyDescent="0.25">
      <c r="A66" s="9" t="s">
        <v>289</v>
      </c>
      <c r="B66" s="9" t="s">
        <v>57</v>
      </c>
      <c r="C66" s="9" t="s">
        <v>139</v>
      </c>
      <c r="D66" s="9" t="s">
        <v>102</v>
      </c>
      <c r="E66" s="9">
        <v>42</v>
      </c>
      <c r="F66" s="20">
        <v>45151</v>
      </c>
      <c r="G66" s="20"/>
      <c r="H66" s="9" t="s">
        <v>51</v>
      </c>
      <c r="I66" s="21">
        <v>73000</v>
      </c>
      <c r="J66" s="9">
        <v>2</v>
      </c>
      <c r="K66" s="9">
        <v>3</v>
      </c>
      <c r="L66" s="9" t="s">
        <v>71</v>
      </c>
      <c r="M66" s="9"/>
      <c r="N66" s="9">
        <f>ROUND((IF(G66="",Analysis!$B$2,G66)-F66)/365.25,1)</f>
        <v>3.2</v>
      </c>
      <c r="O66" s="9" t="str">
        <f>IF(G66="","",YEAR(G66))</f>
        <v/>
      </c>
      <c r="P66" s="9" t="str">
        <f>IF(E66&lt;30,"&lt;30",IF(E66&lt;40,"30-39","40+"))</f>
        <v>40+</v>
      </c>
    </row>
    <row r="67" spans="1:16" x14ac:dyDescent="0.25">
      <c r="A67" s="9" t="s">
        <v>547</v>
      </c>
      <c r="B67" s="9" t="s">
        <v>62</v>
      </c>
      <c r="C67" s="9" t="s">
        <v>150</v>
      </c>
      <c r="D67" s="9" t="s">
        <v>102</v>
      </c>
      <c r="E67" s="9">
        <v>33</v>
      </c>
      <c r="F67" s="20">
        <v>44796</v>
      </c>
      <c r="G67" s="20">
        <v>45227</v>
      </c>
      <c r="H67" s="9" t="s">
        <v>103</v>
      </c>
      <c r="I67" s="21">
        <v>74500</v>
      </c>
      <c r="J67" s="9">
        <v>2</v>
      </c>
      <c r="K67" s="9">
        <v>5</v>
      </c>
      <c r="L67" s="9" t="s">
        <v>70</v>
      </c>
      <c r="M67" s="9" t="s">
        <v>82</v>
      </c>
      <c r="N67" s="9">
        <f>ROUND((IF(G67="",Analysis!$B$2,G67)-F67)/365.25,1)</f>
        <v>1.2</v>
      </c>
      <c r="O67" s="9">
        <f>IF(G67="","",YEAR(G67))</f>
        <v>2023</v>
      </c>
      <c r="P67" s="9" t="str">
        <f>IF(E67&lt;30,"&lt;30",IF(E67&lt;40,"30-39","40+"))</f>
        <v>30-39</v>
      </c>
    </row>
    <row r="68" spans="1:16" x14ac:dyDescent="0.25">
      <c r="A68" s="9" t="s">
        <v>198</v>
      </c>
      <c r="B68" s="9" t="s">
        <v>59</v>
      </c>
      <c r="C68" s="9" t="s">
        <v>137</v>
      </c>
      <c r="D68" s="9" t="s">
        <v>110</v>
      </c>
      <c r="E68" s="9">
        <v>45</v>
      </c>
      <c r="F68" s="20">
        <v>44761</v>
      </c>
      <c r="G68" s="20"/>
      <c r="H68" s="9" t="s">
        <v>51</v>
      </c>
      <c r="I68" s="21">
        <v>76700</v>
      </c>
      <c r="J68" s="9">
        <v>2</v>
      </c>
      <c r="K68" s="9">
        <v>4</v>
      </c>
      <c r="L68" s="9" t="s">
        <v>71</v>
      </c>
      <c r="M68" s="9"/>
      <c r="N68" s="9">
        <f>ROUND((IF(G68="",Analysis!$B$2,G68)-F68)/365.25,1)</f>
        <v>4.3</v>
      </c>
      <c r="O68" s="9" t="str">
        <f>IF(G68="","",YEAR(G68))</f>
        <v/>
      </c>
      <c r="P68" s="9" t="str">
        <f>IF(E68&lt;30,"&lt;30",IF(E68&lt;40,"30-39","40+"))</f>
        <v>40+</v>
      </c>
    </row>
    <row r="69" spans="1:16" x14ac:dyDescent="0.25">
      <c r="A69" s="9" t="s">
        <v>528</v>
      </c>
      <c r="B69" s="9" t="s">
        <v>63</v>
      </c>
      <c r="C69" s="9" t="s">
        <v>105</v>
      </c>
      <c r="D69" s="9" t="s">
        <v>110</v>
      </c>
      <c r="E69" s="9">
        <v>30</v>
      </c>
      <c r="F69" s="20">
        <v>45439</v>
      </c>
      <c r="G69" s="20">
        <v>45561</v>
      </c>
      <c r="H69" s="9" t="s">
        <v>103</v>
      </c>
      <c r="I69" s="21">
        <v>77000</v>
      </c>
      <c r="J69" s="9">
        <v>2</v>
      </c>
      <c r="K69" s="9">
        <v>2</v>
      </c>
      <c r="L69" s="9" t="s">
        <v>71</v>
      </c>
      <c r="M69" s="9" t="s">
        <v>80</v>
      </c>
      <c r="N69" s="9">
        <f>ROUND((IF(G69="",Analysis!$B$2,G69)-F69)/365.25,1)</f>
        <v>0.3</v>
      </c>
      <c r="O69" s="9">
        <f>IF(G69="","",YEAR(G69))</f>
        <v>2024</v>
      </c>
      <c r="P69" s="9" t="str">
        <f>IF(E69&lt;30,"&lt;30",IF(E69&lt;40,"30-39","40+"))</f>
        <v>30-39</v>
      </c>
    </row>
    <row r="70" spans="1:16" x14ac:dyDescent="0.25">
      <c r="A70" s="9" t="s">
        <v>353</v>
      </c>
      <c r="B70" s="9" t="s">
        <v>57</v>
      </c>
      <c r="C70" s="9" t="s">
        <v>139</v>
      </c>
      <c r="D70" s="9" t="s">
        <v>110</v>
      </c>
      <c r="E70" s="9">
        <v>32</v>
      </c>
      <c r="F70" s="20">
        <v>43338</v>
      </c>
      <c r="G70" s="20">
        <v>45609</v>
      </c>
      <c r="H70" s="9" t="s">
        <v>103</v>
      </c>
      <c r="I70" s="21">
        <v>78000</v>
      </c>
      <c r="J70" s="9">
        <v>2</v>
      </c>
      <c r="K70" s="9">
        <v>4</v>
      </c>
      <c r="L70" s="9" t="s">
        <v>70</v>
      </c>
      <c r="M70" s="9" t="s">
        <v>85</v>
      </c>
      <c r="N70" s="9">
        <f>ROUND((IF(G70="",Analysis!$B$2,G70)-F70)/365.25,1)</f>
        <v>6.2</v>
      </c>
      <c r="O70" s="9">
        <f>IF(G70="","",YEAR(G70))</f>
        <v>2024</v>
      </c>
      <c r="P70" s="9" t="str">
        <f>IF(E70&lt;30,"&lt;30",IF(E70&lt;40,"30-39","40+"))</f>
        <v>30-39</v>
      </c>
    </row>
    <row r="71" spans="1:16" x14ac:dyDescent="0.25">
      <c r="A71" s="9" t="s">
        <v>397</v>
      </c>
      <c r="B71" s="9" t="s">
        <v>62</v>
      </c>
      <c r="C71" s="9" t="s">
        <v>150</v>
      </c>
      <c r="D71" s="9" t="s">
        <v>102</v>
      </c>
      <c r="E71" s="9">
        <v>39</v>
      </c>
      <c r="F71" s="20">
        <v>44862</v>
      </c>
      <c r="G71" s="20"/>
      <c r="H71" s="9" t="s">
        <v>51</v>
      </c>
      <c r="I71" s="21">
        <v>79600</v>
      </c>
      <c r="J71" s="9">
        <v>2</v>
      </c>
      <c r="K71" s="9">
        <v>5</v>
      </c>
      <c r="L71" s="9" t="s">
        <v>71</v>
      </c>
      <c r="M71" s="9"/>
      <c r="N71" s="9">
        <f>ROUND((IF(G71="",Analysis!$B$2,G71)-F71)/365.25,1)</f>
        <v>4</v>
      </c>
      <c r="O71" s="9" t="str">
        <f>IF(G71="","",YEAR(G71))</f>
        <v/>
      </c>
      <c r="P71" s="9" t="str">
        <f>IF(E71&lt;30,"&lt;30",IF(E71&lt;40,"30-39","40+"))</f>
        <v>30-39</v>
      </c>
    </row>
    <row r="72" spans="1:16" x14ac:dyDescent="0.25">
      <c r="A72" s="9" t="s">
        <v>214</v>
      </c>
      <c r="B72" s="9" t="s">
        <v>59</v>
      </c>
      <c r="C72" s="9" t="s">
        <v>137</v>
      </c>
      <c r="D72" s="9" t="s">
        <v>110</v>
      </c>
      <c r="E72" s="9">
        <v>29</v>
      </c>
      <c r="F72" s="20">
        <v>44993</v>
      </c>
      <c r="G72" s="20"/>
      <c r="H72" s="9" t="s">
        <v>51</v>
      </c>
      <c r="I72" s="21">
        <v>79800</v>
      </c>
      <c r="J72" s="9">
        <v>2</v>
      </c>
      <c r="K72" s="9">
        <v>4</v>
      </c>
      <c r="L72" s="9" t="s">
        <v>70</v>
      </c>
      <c r="M72" s="9"/>
      <c r="N72" s="9">
        <f>ROUND((IF(G72="",Analysis!$B$2,G72)-F72)/365.25,1)</f>
        <v>3.6</v>
      </c>
      <c r="O72" s="9" t="str">
        <f>IF(G72="","",YEAR(G72))</f>
        <v/>
      </c>
      <c r="P72" s="9" t="str">
        <f>IF(E72&lt;30,"&lt;30",IF(E72&lt;40,"30-39","40+"))</f>
        <v>&lt;30</v>
      </c>
    </row>
    <row r="73" spans="1:16" x14ac:dyDescent="0.25">
      <c r="A73" s="9" t="s">
        <v>620</v>
      </c>
      <c r="B73" s="9" t="s">
        <v>63</v>
      </c>
      <c r="C73" s="9" t="s">
        <v>105</v>
      </c>
      <c r="D73" s="9" t="s">
        <v>102</v>
      </c>
      <c r="E73" s="9">
        <v>28</v>
      </c>
      <c r="F73" s="20">
        <v>45795</v>
      </c>
      <c r="G73" s="20"/>
      <c r="H73" s="9" t="s">
        <v>51</v>
      </c>
      <c r="I73" s="21">
        <v>81600</v>
      </c>
      <c r="J73" s="9">
        <v>2</v>
      </c>
      <c r="K73" s="9">
        <v>5</v>
      </c>
      <c r="L73" s="9" t="s">
        <v>71</v>
      </c>
      <c r="M73" s="9"/>
      <c r="N73" s="9">
        <f>ROUND((IF(G73="",Analysis!$B$2,G73)-F73)/365.25,1)</f>
        <v>1.4</v>
      </c>
      <c r="O73" s="9" t="str">
        <f>IF(G73="","",YEAR(G73))</f>
        <v/>
      </c>
      <c r="P73" s="9" t="str">
        <f>IF(E73&lt;30,"&lt;30",IF(E73&lt;40,"30-39","40+"))</f>
        <v>&lt;30</v>
      </c>
    </row>
    <row r="74" spans="1:16" x14ac:dyDescent="0.25">
      <c r="A74" s="9" t="s">
        <v>186</v>
      </c>
      <c r="B74" s="9" t="s">
        <v>57</v>
      </c>
      <c r="C74" s="9" t="s">
        <v>139</v>
      </c>
      <c r="D74" s="9" t="s">
        <v>102</v>
      </c>
      <c r="E74" s="9">
        <v>28</v>
      </c>
      <c r="F74" s="20">
        <v>44566</v>
      </c>
      <c r="G74" s="20">
        <v>45927</v>
      </c>
      <c r="H74" s="9" t="s">
        <v>103</v>
      </c>
      <c r="I74" s="21">
        <v>88700</v>
      </c>
      <c r="J74" s="9">
        <v>2</v>
      </c>
      <c r="K74" s="9">
        <v>2</v>
      </c>
      <c r="L74" s="9" t="s">
        <v>70</v>
      </c>
      <c r="M74" s="9" t="s">
        <v>81</v>
      </c>
      <c r="N74" s="9">
        <f>ROUND((IF(G74="",Analysis!$B$2,G74)-F74)/365.25,1)</f>
        <v>3.7</v>
      </c>
      <c r="O74" s="9">
        <f>IF(G74="","",YEAR(G74))</f>
        <v>2025</v>
      </c>
      <c r="P74" s="9" t="str">
        <f>IF(E74&lt;30,"&lt;30",IF(E74&lt;40,"30-39","40+"))</f>
        <v>&lt;30</v>
      </c>
    </row>
    <row r="75" spans="1:16" x14ac:dyDescent="0.25">
      <c r="A75" s="9" t="s">
        <v>155</v>
      </c>
      <c r="B75" s="9" t="s">
        <v>61</v>
      </c>
      <c r="C75" s="9" t="s">
        <v>114</v>
      </c>
      <c r="D75" s="9" t="s">
        <v>110</v>
      </c>
      <c r="E75" s="9">
        <v>30</v>
      </c>
      <c r="F75" s="20">
        <v>43711</v>
      </c>
      <c r="G75" s="20"/>
      <c r="H75" s="9" t="s">
        <v>51</v>
      </c>
      <c r="I75" s="21">
        <v>91800</v>
      </c>
      <c r="J75" s="9">
        <v>2</v>
      </c>
      <c r="K75" s="9">
        <v>4</v>
      </c>
      <c r="L75" s="9" t="s">
        <v>71</v>
      </c>
      <c r="M75" s="9"/>
      <c r="N75" s="9">
        <f>ROUND((IF(G75="",Analysis!$B$2,G75)-F75)/365.25,1)</f>
        <v>7.1</v>
      </c>
      <c r="O75" s="9" t="str">
        <f>IF(G75="","",YEAR(G75))</f>
        <v/>
      </c>
      <c r="P75" s="9" t="str">
        <f>IF(E75&lt;30,"&lt;30",IF(E75&lt;40,"30-39","40+"))</f>
        <v>30-39</v>
      </c>
    </row>
    <row r="76" spans="1:16" x14ac:dyDescent="0.25">
      <c r="A76" s="9" t="s">
        <v>570</v>
      </c>
      <c r="B76" s="9" t="s">
        <v>61</v>
      </c>
      <c r="C76" s="9" t="s">
        <v>178</v>
      </c>
      <c r="D76" s="9" t="s">
        <v>102</v>
      </c>
      <c r="E76" s="9">
        <v>26</v>
      </c>
      <c r="F76" s="20">
        <v>45106</v>
      </c>
      <c r="G76" s="20"/>
      <c r="H76" s="9" t="s">
        <v>51</v>
      </c>
      <c r="I76" s="21">
        <v>93000</v>
      </c>
      <c r="J76" s="9">
        <v>2</v>
      </c>
      <c r="K76" s="9">
        <v>4</v>
      </c>
      <c r="L76" s="9" t="s">
        <v>71</v>
      </c>
      <c r="M76" s="9"/>
      <c r="N76" s="9">
        <f>ROUND((IF(G76="",Analysis!$B$2,G76)-F76)/365.25,1)</f>
        <v>3.3</v>
      </c>
      <c r="O76" s="9" t="str">
        <f>IF(G76="","",YEAR(G76))</f>
        <v/>
      </c>
      <c r="P76" s="9" t="str">
        <f>IF(E76&lt;30,"&lt;30",IF(E76&lt;40,"30-39","40+"))</f>
        <v>&lt;30</v>
      </c>
    </row>
    <row r="77" spans="1:16" x14ac:dyDescent="0.25">
      <c r="A77" s="9" t="s">
        <v>549</v>
      </c>
      <c r="B77" s="9" t="s">
        <v>63</v>
      </c>
      <c r="C77" s="9" t="s">
        <v>181</v>
      </c>
      <c r="D77" s="9" t="s">
        <v>102</v>
      </c>
      <c r="E77" s="9">
        <v>33</v>
      </c>
      <c r="F77" s="20">
        <v>43891</v>
      </c>
      <c r="G77" s="20"/>
      <c r="H77" s="9" t="s">
        <v>51</v>
      </c>
      <c r="I77" s="21">
        <v>95500</v>
      </c>
      <c r="J77" s="9">
        <v>2</v>
      </c>
      <c r="K77" s="9">
        <v>4</v>
      </c>
      <c r="L77" s="9" t="s">
        <v>70</v>
      </c>
      <c r="M77" s="9"/>
      <c r="N77" s="9">
        <f>ROUND((IF(G77="",Analysis!$B$2,G77)-F77)/365.25,1)</f>
        <v>6.7</v>
      </c>
      <c r="O77" s="9" t="str">
        <f>IF(G77="","",YEAR(G77))</f>
        <v/>
      </c>
      <c r="P77" s="9" t="str">
        <f>IF(E77&lt;30,"&lt;30",IF(E77&lt;40,"30-39","40+"))</f>
        <v>30-39</v>
      </c>
    </row>
    <row r="78" spans="1:16" x14ac:dyDescent="0.25">
      <c r="A78" s="9" t="s">
        <v>357</v>
      </c>
      <c r="B78" s="9" t="s">
        <v>61</v>
      </c>
      <c r="C78" s="9" t="s">
        <v>114</v>
      </c>
      <c r="D78" s="9" t="s">
        <v>102</v>
      </c>
      <c r="E78" s="9">
        <v>33</v>
      </c>
      <c r="F78" s="20">
        <v>43843</v>
      </c>
      <c r="G78" s="20"/>
      <c r="H78" s="9" t="s">
        <v>51</v>
      </c>
      <c r="I78" s="21">
        <v>99700</v>
      </c>
      <c r="J78" s="9">
        <v>2</v>
      </c>
      <c r="K78" s="9">
        <v>4</v>
      </c>
      <c r="L78" s="9" t="s">
        <v>71</v>
      </c>
      <c r="M78" s="9"/>
      <c r="N78" s="9">
        <f>ROUND((IF(G78="",Analysis!$B$2,G78)-F78)/365.25,1)</f>
        <v>6.8</v>
      </c>
      <c r="O78" s="9" t="str">
        <f>IF(G78="","",YEAR(G78))</f>
        <v/>
      </c>
      <c r="P78" s="9" t="str">
        <f>IF(E78&lt;30,"&lt;30",IF(E78&lt;40,"30-39","40+"))</f>
        <v>30-39</v>
      </c>
    </row>
    <row r="79" spans="1:16" x14ac:dyDescent="0.25">
      <c r="A79" s="9" t="s">
        <v>482</v>
      </c>
      <c r="B79" s="9" t="s">
        <v>63</v>
      </c>
      <c r="C79" s="9" t="s">
        <v>181</v>
      </c>
      <c r="D79" s="9" t="s">
        <v>110</v>
      </c>
      <c r="E79" s="9">
        <v>38</v>
      </c>
      <c r="F79" s="20">
        <v>44442</v>
      </c>
      <c r="G79" s="20"/>
      <c r="H79" s="9" t="s">
        <v>51</v>
      </c>
      <c r="I79" s="21">
        <v>100200</v>
      </c>
      <c r="J79" s="9">
        <v>2</v>
      </c>
      <c r="K79" s="9">
        <v>4</v>
      </c>
      <c r="L79" s="9" t="s">
        <v>71</v>
      </c>
      <c r="M79" s="9"/>
      <c r="N79" s="9">
        <f>ROUND((IF(G79="",Analysis!$B$2,G79)-F79)/365.25,1)</f>
        <v>5.0999999999999996</v>
      </c>
      <c r="O79" s="9" t="str">
        <f>IF(G79="","",YEAR(G79))</f>
        <v/>
      </c>
      <c r="P79" s="9" t="str">
        <f>IF(E79&lt;30,"&lt;30",IF(E79&lt;40,"30-39","40+"))</f>
        <v>30-39</v>
      </c>
    </row>
    <row r="80" spans="1:16" x14ac:dyDescent="0.25">
      <c r="A80" s="9" t="s">
        <v>347</v>
      </c>
      <c r="B80" s="9" t="s">
        <v>60</v>
      </c>
      <c r="C80" s="9" t="s">
        <v>145</v>
      </c>
      <c r="D80" s="9" t="s">
        <v>110</v>
      </c>
      <c r="E80" s="9">
        <v>42</v>
      </c>
      <c r="F80" s="20">
        <v>45501</v>
      </c>
      <c r="G80" s="20"/>
      <c r="H80" s="9" t="s">
        <v>51</v>
      </c>
      <c r="I80" s="21">
        <v>100800</v>
      </c>
      <c r="J80" s="9">
        <v>2</v>
      </c>
      <c r="K80" s="9">
        <v>3</v>
      </c>
      <c r="L80" s="9" t="s">
        <v>70</v>
      </c>
      <c r="M80" s="9"/>
      <c r="N80" s="9">
        <f>ROUND((IF(G80="",Analysis!$B$2,G80)-F80)/365.25,1)</f>
        <v>2.2000000000000002</v>
      </c>
      <c r="O80" s="9" t="str">
        <f>IF(G80="","",YEAR(G80))</f>
        <v/>
      </c>
      <c r="P80" s="9" t="str">
        <f>IF(E80&lt;30,"&lt;30",IF(E80&lt;40,"30-39","40+"))</f>
        <v>40+</v>
      </c>
    </row>
    <row r="81" spans="1:16" x14ac:dyDescent="0.25">
      <c r="A81" s="9" t="s">
        <v>661</v>
      </c>
      <c r="B81" s="9" t="s">
        <v>59</v>
      </c>
      <c r="C81" s="9" t="s">
        <v>107</v>
      </c>
      <c r="D81" s="9" t="s">
        <v>102</v>
      </c>
      <c r="E81" s="9">
        <v>34</v>
      </c>
      <c r="F81" s="20">
        <v>43523</v>
      </c>
      <c r="G81" s="20"/>
      <c r="H81" s="9" t="s">
        <v>51</v>
      </c>
      <c r="I81" s="21">
        <v>101500</v>
      </c>
      <c r="J81" s="9">
        <v>2</v>
      </c>
      <c r="K81" s="9">
        <v>5</v>
      </c>
      <c r="L81" s="9" t="s">
        <v>70</v>
      </c>
      <c r="M81" s="9"/>
      <c r="N81" s="9">
        <f>ROUND((IF(G81="",Analysis!$B$2,G81)-F81)/365.25,1)</f>
        <v>7.7</v>
      </c>
      <c r="O81" s="9" t="str">
        <f>IF(G81="","",YEAR(G81))</f>
        <v/>
      </c>
      <c r="P81" s="9" t="str">
        <f>IF(E81&lt;30,"&lt;30",IF(E81&lt;40,"30-39","40+"))</f>
        <v>30-39</v>
      </c>
    </row>
    <row r="82" spans="1:16" x14ac:dyDescent="0.25">
      <c r="A82" s="9" t="s">
        <v>465</v>
      </c>
      <c r="B82" s="9" t="s">
        <v>61</v>
      </c>
      <c r="C82" s="9" t="s">
        <v>114</v>
      </c>
      <c r="D82" s="9" t="s">
        <v>110</v>
      </c>
      <c r="E82" s="9">
        <v>42</v>
      </c>
      <c r="F82" s="20">
        <v>43146</v>
      </c>
      <c r="G82" s="20"/>
      <c r="H82" s="9" t="s">
        <v>51</v>
      </c>
      <c r="I82" s="21">
        <v>102700</v>
      </c>
      <c r="J82" s="9">
        <v>2</v>
      </c>
      <c r="K82" s="9">
        <v>4</v>
      </c>
      <c r="L82" s="9" t="s">
        <v>71</v>
      </c>
      <c r="M82" s="9"/>
      <c r="N82" s="9">
        <f>ROUND((IF(G82="",Analysis!$B$2,G82)-F82)/365.25,1)</f>
        <v>8.6999999999999993</v>
      </c>
      <c r="O82" s="9" t="str">
        <f>IF(G82="","",YEAR(G82))</f>
        <v/>
      </c>
      <c r="P82" s="9" t="str">
        <f>IF(E82&lt;30,"&lt;30",IF(E82&lt;40,"30-39","40+"))</f>
        <v>40+</v>
      </c>
    </row>
    <row r="83" spans="1:16" x14ac:dyDescent="0.25">
      <c r="A83" s="9" t="s">
        <v>359</v>
      </c>
      <c r="B83" s="9" t="s">
        <v>59</v>
      </c>
      <c r="C83" s="9" t="s">
        <v>134</v>
      </c>
      <c r="D83" s="9" t="s">
        <v>110</v>
      </c>
      <c r="E83" s="9">
        <v>40</v>
      </c>
      <c r="F83" s="20">
        <v>46130</v>
      </c>
      <c r="G83" s="20">
        <v>46275</v>
      </c>
      <c r="H83" s="9" t="s">
        <v>103</v>
      </c>
      <c r="I83" s="21">
        <v>105400</v>
      </c>
      <c r="J83" s="9">
        <v>2</v>
      </c>
      <c r="K83" s="9">
        <v>3</v>
      </c>
      <c r="L83" s="9" t="s">
        <v>71</v>
      </c>
      <c r="M83" s="9" t="s">
        <v>82</v>
      </c>
      <c r="N83" s="9">
        <f>ROUND((IF(G83="",Analysis!$B$2,G83)-F83)/365.25,1)</f>
        <v>0.4</v>
      </c>
      <c r="O83" s="9">
        <f>IF(G83="","",YEAR(G83))</f>
        <v>2026</v>
      </c>
      <c r="P83" s="9" t="str">
        <f>IF(E83&lt;30,"&lt;30",IF(E83&lt;40,"30-39","40+"))</f>
        <v>40+</v>
      </c>
    </row>
    <row r="84" spans="1:16" x14ac:dyDescent="0.25">
      <c r="A84" s="9" t="s">
        <v>243</v>
      </c>
      <c r="B84" s="9" t="s">
        <v>59</v>
      </c>
      <c r="C84" s="9" t="s">
        <v>107</v>
      </c>
      <c r="D84" s="9" t="s">
        <v>110</v>
      </c>
      <c r="E84" s="9">
        <v>42</v>
      </c>
      <c r="F84" s="20">
        <v>45152</v>
      </c>
      <c r="G84" s="20"/>
      <c r="H84" s="9" t="s">
        <v>51</v>
      </c>
      <c r="I84" s="21">
        <v>108100</v>
      </c>
      <c r="J84" s="9">
        <v>2</v>
      </c>
      <c r="K84" s="9">
        <v>3</v>
      </c>
      <c r="L84" s="9" t="s">
        <v>71</v>
      </c>
      <c r="M84" s="9"/>
      <c r="N84" s="9">
        <f>ROUND((IF(G84="",Analysis!$B$2,G84)-F84)/365.25,1)</f>
        <v>3.2</v>
      </c>
      <c r="O84" s="9" t="str">
        <f>IF(G84="","",YEAR(G84))</f>
        <v/>
      </c>
      <c r="P84" s="9" t="str">
        <f>IF(E84&lt;30,"&lt;30",IF(E84&lt;40,"30-39","40+"))</f>
        <v>40+</v>
      </c>
    </row>
    <row r="85" spans="1:16" x14ac:dyDescent="0.25">
      <c r="A85" s="9" t="s">
        <v>619</v>
      </c>
      <c r="B85" s="9" t="s">
        <v>61</v>
      </c>
      <c r="C85" s="9" t="s">
        <v>114</v>
      </c>
      <c r="D85" s="9" t="s">
        <v>102</v>
      </c>
      <c r="E85" s="9">
        <v>34</v>
      </c>
      <c r="F85" s="20">
        <v>45344</v>
      </c>
      <c r="G85" s="20"/>
      <c r="H85" s="9" t="s">
        <v>51</v>
      </c>
      <c r="I85" s="21">
        <v>109400</v>
      </c>
      <c r="J85" s="9">
        <v>2</v>
      </c>
      <c r="K85" s="9">
        <v>4</v>
      </c>
      <c r="L85" s="9" t="s">
        <v>71</v>
      </c>
      <c r="M85" s="9"/>
      <c r="N85" s="9">
        <f>ROUND((IF(G85="",Analysis!$B$2,G85)-F85)/365.25,1)</f>
        <v>2.7</v>
      </c>
      <c r="O85" s="9" t="str">
        <f>IF(G85="","",YEAR(G85))</f>
        <v/>
      </c>
      <c r="P85" s="9" t="str">
        <f>IF(E85&lt;30,"&lt;30",IF(E85&lt;40,"30-39","40+"))</f>
        <v>30-39</v>
      </c>
    </row>
    <row r="86" spans="1:16" x14ac:dyDescent="0.25">
      <c r="A86" s="9" t="s">
        <v>174</v>
      </c>
      <c r="B86" s="9" t="s">
        <v>61</v>
      </c>
      <c r="C86" s="9" t="s">
        <v>114</v>
      </c>
      <c r="D86" s="9" t="s">
        <v>102</v>
      </c>
      <c r="E86" s="9">
        <v>32</v>
      </c>
      <c r="F86" s="20">
        <v>45100</v>
      </c>
      <c r="G86" s="20"/>
      <c r="H86" s="9" t="s">
        <v>51</v>
      </c>
      <c r="I86" s="21">
        <v>113800</v>
      </c>
      <c r="J86" s="9">
        <v>2</v>
      </c>
      <c r="K86" s="9">
        <v>3</v>
      </c>
      <c r="L86" s="9" t="s">
        <v>70</v>
      </c>
      <c r="M86" s="9"/>
      <c r="N86" s="9">
        <f>ROUND((IF(G86="",Analysis!$B$2,G86)-F86)/365.25,1)</f>
        <v>3.3</v>
      </c>
      <c r="O86" s="9" t="str">
        <f>IF(G86="","",YEAR(G86))</f>
        <v/>
      </c>
      <c r="P86" s="9" t="str">
        <f>IF(E86&lt;30,"&lt;30",IF(E86&lt;40,"30-39","40+"))</f>
        <v>30-39</v>
      </c>
    </row>
    <row r="87" spans="1:16" x14ac:dyDescent="0.25">
      <c r="A87" s="9" t="s">
        <v>678</v>
      </c>
      <c r="B87" s="9" t="s">
        <v>59</v>
      </c>
      <c r="C87" s="9" t="s">
        <v>163</v>
      </c>
      <c r="D87" s="9" t="s">
        <v>110</v>
      </c>
      <c r="E87" s="9">
        <v>25</v>
      </c>
      <c r="F87" s="20">
        <v>44508</v>
      </c>
      <c r="G87" s="20"/>
      <c r="H87" s="9" t="s">
        <v>51</v>
      </c>
      <c r="I87" s="21">
        <v>122800</v>
      </c>
      <c r="J87" s="9">
        <v>2</v>
      </c>
      <c r="K87" s="9">
        <v>4</v>
      </c>
      <c r="L87" s="9" t="s">
        <v>71</v>
      </c>
      <c r="M87" s="9"/>
      <c r="N87" s="9">
        <f>ROUND((IF(G87="",Analysis!$B$2,G87)-F87)/365.25,1)</f>
        <v>5</v>
      </c>
      <c r="O87" s="9" t="str">
        <f>IF(G87="","",YEAR(G87))</f>
        <v/>
      </c>
      <c r="P87" s="9" t="str">
        <f>IF(E87&lt;30,"&lt;30",IF(E87&lt;40,"30-39","40+"))</f>
        <v>&lt;30</v>
      </c>
    </row>
    <row r="88" spans="1:16" x14ac:dyDescent="0.25">
      <c r="A88" s="9" t="s">
        <v>367</v>
      </c>
      <c r="B88" s="9" t="s">
        <v>59</v>
      </c>
      <c r="C88" s="9" t="s">
        <v>134</v>
      </c>
      <c r="D88" s="9" t="s">
        <v>110</v>
      </c>
      <c r="E88" s="9">
        <v>39</v>
      </c>
      <c r="F88" s="20">
        <v>45546</v>
      </c>
      <c r="G88" s="20"/>
      <c r="H88" s="9" t="s">
        <v>51</v>
      </c>
      <c r="I88" s="21">
        <v>136400</v>
      </c>
      <c r="J88" s="9">
        <v>2</v>
      </c>
      <c r="K88" s="9">
        <v>3</v>
      </c>
      <c r="L88" s="9" t="s">
        <v>71</v>
      </c>
      <c r="M88" s="9"/>
      <c r="N88" s="9">
        <f>ROUND((IF(G88="",Analysis!$B$2,G88)-F88)/365.25,1)</f>
        <v>2.1</v>
      </c>
      <c r="O88" s="9" t="str">
        <f>IF(G88="","",YEAR(G88))</f>
        <v/>
      </c>
      <c r="P88" s="9" t="str">
        <f>IF(E88&lt;30,"&lt;30",IF(E88&lt;40,"30-39","40+"))</f>
        <v>30-39</v>
      </c>
    </row>
    <row r="89" spans="1:16" x14ac:dyDescent="0.25">
      <c r="A89" s="9" t="s">
        <v>373</v>
      </c>
      <c r="B89" s="9" t="s">
        <v>59</v>
      </c>
      <c r="C89" s="9" t="s">
        <v>134</v>
      </c>
      <c r="D89" s="9" t="s">
        <v>102</v>
      </c>
      <c r="E89" s="9">
        <v>30</v>
      </c>
      <c r="F89" s="20">
        <v>43524</v>
      </c>
      <c r="G89" s="20">
        <v>45308</v>
      </c>
      <c r="H89" s="9" t="s">
        <v>103</v>
      </c>
      <c r="I89" s="21">
        <v>137100</v>
      </c>
      <c r="J89" s="9">
        <v>2</v>
      </c>
      <c r="K89" s="9">
        <v>3</v>
      </c>
      <c r="L89" s="9" t="s">
        <v>70</v>
      </c>
      <c r="M89" s="9" t="s">
        <v>82</v>
      </c>
      <c r="N89" s="9">
        <f>ROUND((IF(G89="",Analysis!$B$2,G89)-F89)/365.25,1)</f>
        <v>4.9000000000000004</v>
      </c>
      <c r="O89" s="9">
        <f>IF(G89="","",YEAR(G89))</f>
        <v>2024</v>
      </c>
      <c r="P89" s="9" t="str">
        <f>IF(E89&lt;30,"&lt;30",IF(E89&lt;40,"30-39","40+"))</f>
        <v>30-39</v>
      </c>
    </row>
    <row r="90" spans="1:16" x14ac:dyDescent="0.25">
      <c r="A90" s="9" t="s">
        <v>321</v>
      </c>
      <c r="B90" s="9" t="s">
        <v>59</v>
      </c>
      <c r="C90" s="9" t="s">
        <v>163</v>
      </c>
      <c r="D90" s="9" t="s">
        <v>110</v>
      </c>
      <c r="E90" s="9">
        <v>32</v>
      </c>
      <c r="F90" s="20">
        <v>43456</v>
      </c>
      <c r="G90" s="20">
        <v>44680</v>
      </c>
      <c r="H90" s="9" t="s">
        <v>103</v>
      </c>
      <c r="I90" s="21">
        <v>137800</v>
      </c>
      <c r="J90" s="9">
        <v>2</v>
      </c>
      <c r="K90" s="9">
        <v>2</v>
      </c>
      <c r="L90" s="9" t="s">
        <v>71</v>
      </c>
      <c r="M90" s="9" t="s">
        <v>81</v>
      </c>
      <c r="N90" s="9">
        <f>ROUND((IF(G90="",Analysis!$B$2,G90)-F90)/365.25,1)</f>
        <v>3.4</v>
      </c>
      <c r="O90" s="9">
        <f>IF(G90="","",YEAR(G90))</f>
        <v>2022</v>
      </c>
      <c r="P90" s="9" t="str">
        <f>IF(E90&lt;30,"&lt;30",IF(E90&lt;40,"30-39","40+"))</f>
        <v>30-39</v>
      </c>
    </row>
    <row r="91" spans="1:16" x14ac:dyDescent="0.25">
      <c r="A91" s="9" t="s">
        <v>319</v>
      </c>
      <c r="B91" s="9" t="s">
        <v>59</v>
      </c>
      <c r="C91" s="9" t="s">
        <v>134</v>
      </c>
      <c r="D91" s="9" t="s">
        <v>110</v>
      </c>
      <c r="E91" s="9">
        <v>32</v>
      </c>
      <c r="F91" s="20">
        <v>45503</v>
      </c>
      <c r="G91" s="20"/>
      <c r="H91" s="9" t="s">
        <v>51</v>
      </c>
      <c r="I91" s="21">
        <v>141200</v>
      </c>
      <c r="J91" s="9">
        <v>2</v>
      </c>
      <c r="K91" s="9">
        <v>2</v>
      </c>
      <c r="L91" s="9" t="s">
        <v>71</v>
      </c>
      <c r="M91" s="9"/>
      <c r="N91" s="9">
        <f>ROUND((IF(G91="",Analysis!$B$2,G91)-F91)/365.25,1)</f>
        <v>2.2000000000000002</v>
      </c>
      <c r="O91" s="9" t="str">
        <f>IF(G91="","",YEAR(G91))</f>
        <v/>
      </c>
      <c r="P91" s="9" t="str">
        <f>IF(E91&lt;30,"&lt;30",IF(E91&lt;40,"30-39","40+"))</f>
        <v>30-39</v>
      </c>
    </row>
    <row r="92" spans="1:16" x14ac:dyDescent="0.25">
      <c r="A92" s="9" t="s">
        <v>332</v>
      </c>
      <c r="B92" s="9" t="s">
        <v>59</v>
      </c>
      <c r="C92" s="9" t="s">
        <v>163</v>
      </c>
      <c r="D92" s="9" t="s">
        <v>110</v>
      </c>
      <c r="E92" s="9">
        <v>24</v>
      </c>
      <c r="F92" s="20">
        <v>44459</v>
      </c>
      <c r="G92" s="20"/>
      <c r="H92" s="9" t="s">
        <v>51</v>
      </c>
      <c r="I92" s="21">
        <v>163200</v>
      </c>
      <c r="J92" s="9">
        <v>2</v>
      </c>
      <c r="K92" s="9">
        <v>5</v>
      </c>
      <c r="L92" s="9" t="s">
        <v>70</v>
      </c>
      <c r="M92" s="9"/>
      <c r="N92" s="9">
        <f>ROUND((IF(G92="",Analysis!$B$2,G92)-F92)/365.25,1)</f>
        <v>5.0999999999999996</v>
      </c>
      <c r="O92" s="9" t="str">
        <f>IF(G92="","",YEAR(G92))</f>
        <v/>
      </c>
      <c r="P92" s="9" t="str">
        <f>IF(E92&lt;30,"&lt;30",IF(E92&lt;40,"30-39","40+"))</f>
        <v>&lt;30</v>
      </c>
    </row>
    <row r="93" spans="1:16" x14ac:dyDescent="0.25">
      <c r="A93" s="9" t="s">
        <v>476</v>
      </c>
      <c r="B93" s="9" t="s">
        <v>59</v>
      </c>
      <c r="C93" s="9" t="s">
        <v>163</v>
      </c>
      <c r="D93" s="9" t="s">
        <v>102</v>
      </c>
      <c r="E93" s="9">
        <v>35</v>
      </c>
      <c r="F93" s="20">
        <v>45213</v>
      </c>
      <c r="G93" s="20"/>
      <c r="H93" s="9" t="s">
        <v>51</v>
      </c>
      <c r="I93" s="21">
        <v>165500</v>
      </c>
      <c r="J93" s="9">
        <v>2</v>
      </c>
      <c r="K93" s="9">
        <v>5</v>
      </c>
      <c r="L93" s="9" t="s">
        <v>71</v>
      </c>
      <c r="M93" s="9"/>
      <c r="N93" s="9">
        <f>ROUND((IF(G93="",Analysis!$B$2,G93)-F93)/365.25,1)</f>
        <v>3</v>
      </c>
      <c r="O93" s="9" t="str">
        <f>IF(G93="","",YEAR(G93))</f>
        <v/>
      </c>
      <c r="P93" s="9" t="str">
        <f>IF(E93&lt;30,"&lt;30",IF(E93&lt;40,"30-39","40+"))</f>
        <v>30-39</v>
      </c>
    </row>
    <row r="94" spans="1:16" x14ac:dyDescent="0.25">
      <c r="A94" s="9" t="s">
        <v>303</v>
      </c>
      <c r="B94" s="9" t="s">
        <v>58</v>
      </c>
      <c r="C94" s="9" t="s">
        <v>128</v>
      </c>
      <c r="D94" s="9" t="s">
        <v>110</v>
      </c>
      <c r="E94" s="9">
        <v>35</v>
      </c>
      <c r="F94" s="20">
        <v>44103</v>
      </c>
      <c r="G94" s="20"/>
      <c r="H94" s="9" t="s">
        <v>51</v>
      </c>
      <c r="I94" s="21">
        <v>32400</v>
      </c>
      <c r="J94" s="9">
        <v>3</v>
      </c>
      <c r="K94" s="9">
        <v>3</v>
      </c>
      <c r="L94" s="9" t="s">
        <v>71</v>
      </c>
      <c r="M94" s="9"/>
      <c r="N94" s="9">
        <f>ROUND((IF(G94="",Analysis!$B$2,G94)-F94)/365.25,1)</f>
        <v>6.1</v>
      </c>
      <c r="O94" s="9" t="str">
        <f>IF(G94="","",YEAR(G94))</f>
        <v/>
      </c>
      <c r="P94" s="9" t="str">
        <f>IF(E94&lt;30,"&lt;30",IF(E94&lt;40,"30-39","40+"))</f>
        <v>30-39</v>
      </c>
    </row>
    <row r="95" spans="1:16" x14ac:dyDescent="0.25">
      <c r="A95" s="9" t="s">
        <v>195</v>
      </c>
      <c r="B95" s="9" t="s">
        <v>58</v>
      </c>
      <c r="C95" s="9" t="s">
        <v>128</v>
      </c>
      <c r="D95" s="9" t="s">
        <v>102</v>
      </c>
      <c r="E95" s="9">
        <v>33</v>
      </c>
      <c r="F95" s="20">
        <v>44586</v>
      </c>
      <c r="G95" s="20">
        <v>46290</v>
      </c>
      <c r="H95" s="9" t="s">
        <v>103</v>
      </c>
      <c r="I95" s="21">
        <v>32600</v>
      </c>
      <c r="J95" s="9">
        <v>3</v>
      </c>
      <c r="K95" s="9">
        <v>5</v>
      </c>
      <c r="L95" s="9" t="s">
        <v>70</v>
      </c>
      <c r="M95" s="9" t="s">
        <v>79</v>
      </c>
      <c r="N95" s="9">
        <f>ROUND((IF(G95="",Analysis!$B$2,G95)-F95)/365.25,1)</f>
        <v>4.7</v>
      </c>
      <c r="O95" s="9">
        <f>IF(G95="","",YEAR(G95))</f>
        <v>2026</v>
      </c>
      <c r="P95" s="9" t="str">
        <f>IF(E95&lt;30,"&lt;30",IF(E95&lt;40,"30-39","40+"))</f>
        <v>30-39</v>
      </c>
    </row>
    <row r="96" spans="1:16" x14ac:dyDescent="0.25">
      <c r="A96" s="9" t="s">
        <v>197</v>
      </c>
      <c r="B96" s="9" t="s">
        <v>58</v>
      </c>
      <c r="C96" s="9" t="s">
        <v>128</v>
      </c>
      <c r="D96" s="9" t="s">
        <v>102</v>
      </c>
      <c r="E96" s="9">
        <v>30</v>
      </c>
      <c r="F96" s="20">
        <v>45372</v>
      </c>
      <c r="G96" s="20"/>
      <c r="H96" s="9" t="s">
        <v>51</v>
      </c>
      <c r="I96" s="21">
        <v>34200</v>
      </c>
      <c r="J96" s="9">
        <v>3</v>
      </c>
      <c r="K96" s="9">
        <v>4</v>
      </c>
      <c r="L96" s="9" t="s">
        <v>71</v>
      </c>
      <c r="M96" s="9"/>
      <c r="N96" s="9">
        <f>ROUND((IF(G96="",Analysis!$B$2,G96)-F96)/365.25,1)</f>
        <v>2.6</v>
      </c>
      <c r="O96" s="9" t="str">
        <f>IF(G96="","",YEAR(G96))</f>
        <v/>
      </c>
      <c r="P96" s="9" t="str">
        <f>IF(E96&lt;30,"&lt;30",IF(E96&lt;40,"30-39","40+"))</f>
        <v>30-39</v>
      </c>
    </row>
    <row r="97" spans="1:16" x14ac:dyDescent="0.25">
      <c r="A97" s="9" t="s">
        <v>204</v>
      </c>
      <c r="B97" s="9" t="s">
        <v>62</v>
      </c>
      <c r="C97" s="9" t="s">
        <v>109</v>
      </c>
      <c r="D97" s="9" t="s">
        <v>110</v>
      </c>
      <c r="E97" s="9">
        <v>39</v>
      </c>
      <c r="F97" s="20">
        <v>44368</v>
      </c>
      <c r="G97" s="20"/>
      <c r="H97" s="9" t="s">
        <v>51</v>
      </c>
      <c r="I97" s="21">
        <v>34400</v>
      </c>
      <c r="J97" s="9">
        <v>3</v>
      </c>
      <c r="K97" s="9">
        <v>4</v>
      </c>
      <c r="L97" s="9" t="s">
        <v>70</v>
      </c>
      <c r="M97" s="9"/>
      <c r="N97" s="9">
        <f>ROUND((IF(G97="",Analysis!$B$2,G97)-F97)/365.25,1)</f>
        <v>5.3</v>
      </c>
      <c r="O97" s="9" t="str">
        <f>IF(G97="","",YEAR(G97))</f>
        <v/>
      </c>
      <c r="P97" s="9" t="str">
        <f>IF(E97&lt;30,"&lt;30",IF(E97&lt;40,"30-39","40+"))</f>
        <v>30-39</v>
      </c>
    </row>
    <row r="98" spans="1:16" x14ac:dyDescent="0.25">
      <c r="A98" s="9" t="s">
        <v>207</v>
      </c>
      <c r="B98" s="9" t="s">
        <v>58</v>
      </c>
      <c r="C98" s="9" t="s">
        <v>128</v>
      </c>
      <c r="D98" s="9" t="s">
        <v>110</v>
      </c>
      <c r="E98" s="9">
        <v>23</v>
      </c>
      <c r="F98" s="20">
        <v>46065</v>
      </c>
      <c r="G98" s="20"/>
      <c r="H98" s="9" t="s">
        <v>51</v>
      </c>
      <c r="I98" s="21">
        <v>34800</v>
      </c>
      <c r="J98" s="9">
        <v>3</v>
      </c>
      <c r="K98" s="9">
        <v>5</v>
      </c>
      <c r="L98" s="9" t="s">
        <v>71</v>
      </c>
      <c r="M98" s="9"/>
      <c r="N98" s="9">
        <f>ROUND((IF(G98="",Analysis!$B$2,G98)-F98)/365.25,1)</f>
        <v>0.7</v>
      </c>
      <c r="O98" s="9" t="str">
        <f>IF(G98="","",YEAR(G98))</f>
        <v/>
      </c>
      <c r="P98" s="9" t="str">
        <f>IF(E98&lt;30,"&lt;30",IF(E98&lt;40,"30-39","40+"))</f>
        <v>&lt;30</v>
      </c>
    </row>
    <row r="99" spans="1:16" x14ac:dyDescent="0.25">
      <c r="A99" s="9" t="s">
        <v>189</v>
      </c>
      <c r="B99" s="9" t="s">
        <v>58</v>
      </c>
      <c r="C99" s="9" t="s">
        <v>128</v>
      </c>
      <c r="D99" s="9" t="s">
        <v>110</v>
      </c>
      <c r="E99" s="9">
        <v>35</v>
      </c>
      <c r="F99" s="20">
        <v>44687</v>
      </c>
      <c r="G99" s="20"/>
      <c r="H99" s="9" t="s">
        <v>51</v>
      </c>
      <c r="I99" s="21">
        <v>34800</v>
      </c>
      <c r="J99" s="9">
        <v>3</v>
      </c>
      <c r="K99" s="9">
        <v>3</v>
      </c>
      <c r="L99" s="9" t="s">
        <v>71</v>
      </c>
      <c r="M99" s="9"/>
      <c r="N99" s="9">
        <f>ROUND((IF(G99="",Analysis!$B$2,G99)-F99)/365.25,1)</f>
        <v>4.5</v>
      </c>
      <c r="O99" s="9" t="str">
        <f>IF(G99="","",YEAR(G99))</f>
        <v/>
      </c>
      <c r="P99" s="9" t="str">
        <f>IF(E99&lt;30,"&lt;30",IF(E99&lt;40,"30-39","40+"))</f>
        <v>30-39</v>
      </c>
    </row>
    <row r="100" spans="1:16" x14ac:dyDescent="0.25">
      <c r="A100" s="9" t="s">
        <v>160</v>
      </c>
      <c r="B100" s="9" t="s">
        <v>62</v>
      </c>
      <c r="C100" s="9" t="s">
        <v>109</v>
      </c>
      <c r="D100" s="9" t="s">
        <v>110</v>
      </c>
      <c r="E100" s="9">
        <v>27</v>
      </c>
      <c r="F100" s="20">
        <v>43787</v>
      </c>
      <c r="G100" s="20"/>
      <c r="H100" s="9" t="s">
        <v>51</v>
      </c>
      <c r="I100" s="21">
        <v>35100</v>
      </c>
      <c r="J100" s="9">
        <v>3</v>
      </c>
      <c r="K100" s="9">
        <v>5</v>
      </c>
      <c r="L100" s="9" t="s">
        <v>71</v>
      </c>
      <c r="M100" s="9"/>
      <c r="N100" s="9">
        <f>ROUND((IF(G100="",Analysis!$B$2,G100)-F100)/365.25,1)</f>
        <v>6.9</v>
      </c>
      <c r="O100" s="9" t="str">
        <f>IF(G100="","",YEAR(G100))</f>
        <v/>
      </c>
      <c r="P100" s="9" t="str">
        <f>IF(E100&lt;30,"&lt;30",IF(E100&lt;40,"30-39","40+"))</f>
        <v>&lt;30</v>
      </c>
    </row>
    <row r="101" spans="1:16" x14ac:dyDescent="0.25">
      <c r="A101" s="9" t="s">
        <v>649</v>
      </c>
      <c r="B101" s="9" t="s">
        <v>62</v>
      </c>
      <c r="C101" s="9" t="s">
        <v>109</v>
      </c>
      <c r="D101" s="9" t="s">
        <v>110</v>
      </c>
      <c r="E101" s="9">
        <v>38</v>
      </c>
      <c r="F101" s="20">
        <v>45039</v>
      </c>
      <c r="G101" s="20"/>
      <c r="H101" s="9" t="s">
        <v>51</v>
      </c>
      <c r="I101" s="21">
        <v>35500</v>
      </c>
      <c r="J101" s="9">
        <v>3</v>
      </c>
      <c r="K101" s="9">
        <v>1</v>
      </c>
      <c r="L101" s="9" t="s">
        <v>71</v>
      </c>
      <c r="M101" s="9"/>
      <c r="N101" s="9">
        <f>ROUND((IF(G101="",Analysis!$B$2,G101)-F101)/365.25,1)</f>
        <v>3.5</v>
      </c>
      <c r="O101" s="9" t="str">
        <f>IF(G101="","",YEAR(G101))</f>
        <v/>
      </c>
      <c r="P101" s="9" t="str">
        <f>IF(E101&lt;30,"&lt;30",IF(E101&lt;40,"30-39","40+"))</f>
        <v>30-39</v>
      </c>
    </row>
    <row r="102" spans="1:16" x14ac:dyDescent="0.25">
      <c r="A102" s="9" t="s">
        <v>583</v>
      </c>
      <c r="B102" s="9" t="s">
        <v>58</v>
      </c>
      <c r="C102" s="9" t="s">
        <v>128</v>
      </c>
      <c r="D102" s="9" t="s">
        <v>110</v>
      </c>
      <c r="E102" s="9">
        <v>28</v>
      </c>
      <c r="F102" s="20">
        <v>45228</v>
      </c>
      <c r="G102" s="20"/>
      <c r="H102" s="9" t="s">
        <v>51</v>
      </c>
      <c r="I102" s="21">
        <v>35600</v>
      </c>
      <c r="J102" s="9">
        <v>3</v>
      </c>
      <c r="K102" s="9">
        <v>4</v>
      </c>
      <c r="L102" s="9" t="s">
        <v>71</v>
      </c>
      <c r="M102" s="9"/>
      <c r="N102" s="9">
        <f>ROUND((IF(G102="",Analysis!$B$2,G102)-F102)/365.25,1)</f>
        <v>3</v>
      </c>
      <c r="O102" s="9" t="str">
        <f>IF(G102="","",YEAR(G102))</f>
        <v/>
      </c>
      <c r="P102" s="9" t="str">
        <f>IF(E102&lt;30,"&lt;30",IF(E102&lt;40,"30-39","40+"))</f>
        <v>&lt;30</v>
      </c>
    </row>
    <row r="103" spans="1:16" x14ac:dyDescent="0.25">
      <c r="A103" s="9" t="s">
        <v>632</v>
      </c>
      <c r="B103" s="9" t="s">
        <v>62</v>
      </c>
      <c r="C103" s="9" t="s">
        <v>109</v>
      </c>
      <c r="D103" s="9" t="s">
        <v>110</v>
      </c>
      <c r="E103" s="9">
        <v>21</v>
      </c>
      <c r="F103" s="20">
        <v>44408</v>
      </c>
      <c r="G103" s="20"/>
      <c r="H103" s="9" t="s">
        <v>51</v>
      </c>
      <c r="I103" s="21">
        <v>36100</v>
      </c>
      <c r="J103" s="9">
        <v>3</v>
      </c>
      <c r="K103" s="9">
        <v>2</v>
      </c>
      <c r="L103" s="9" t="s">
        <v>71</v>
      </c>
      <c r="M103" s="9"/>
      <c r="N103" s="9">
        <f>ROUND((IF(G103="",Analysis!$B$2,G103)-F103)/365.25,1)</f>
        <v>5.2</v>
      </c>
      <c r="O103" s="9" t="str">
        <f>IF(G103="","",YEAR(G103))</f>
        <v/>
      </c>
      <c r="P103" s="9" t="str">
        <f>IF(E103&lt;30,"&lt;30",IF(E103&lt;40,"30-39","40+"))</f>
        <v>&lt;30</v>
      </c>
    </row>
    <row r="104" spans="1:16" x14ac:dyDescent="0.25">
      <c r="A104" s="9" t="s">
        <v>394</v>
      </c>
      <c r="B104" s="9" t="s">
        <v>58</v>
      </c>
      <c r="C104" s="9" t="s">
        <v>128</v>
      </c>
      <c r="D104" s="9" t="s">
        <v>102</v>
      </c>
      <c r="E104" s="9">
        <v>26</v>
      </c>
      <c r="F104" s="20">
        <v>44943</v>
      </c>
      <c r="G104" s="20"/>
      <c r="H104" s="9" t="s">
        <v>51</v>
      </c>
      <c r="I104" s="21">
        <v>36300</v>
      </c>
      <c r="J104" s="9">
        <v>3</v>
      </c>
      <c r="K104" s="9">
        <v>4</v>
      </c>
      <c r="L104" s="9" t="s">
        <v>71</v>
      </c>
      <c r="M104" s="9"/>
      <c r="N104" s="9">
        <f>ROUND((IF(G104="",Analysis!$B$2,G104)-F104)/365.25,1)</f>
        <v>3.8</v>
      </c>
      <c r="O104" s="9" t="str">
        <f>IF(G104="","",YEAR(G104))</f>
        <v/>
      </c>
      <c r="P104" s="9" t="str">
        <f>IF(E104&lt;30,"&lt;30",IF(E104&lt;40,"30-39","40+"))</f>
        <v>&lt;30</v>
      </c>
    </row>
    <row r="105" spans="1:16" x14ac:dyDescent="0.25">
      <c r="A105" s="9" t="s">
        <v>284</v>
      </c>
      <c r="B105" s="9" t="s">
        <v>62</v>
      </c>
      <c r="C105" s="9" t="s">
        <v>109</v>
      </c>
      <c r="D105" s="9" t="s">
        <v>102</v>
      </c>
      <c r="E105" s="9">
        <v>34</v>
      </c>
      <c r="F105" s="20">
        <v>44533</v>
      </c>
      <c r="G105" s="20"/>
      <c r="H105" s="9" t="s">
        <v>51</v>
      </c>
      <c r="I105" s="21">
        <v>36800</v>
      </c>
      <c r="J105" s="9">
        <v>3</v>
      </c>
      <c r="K105" s="9">
        <v>5</v>
      </c>
      <c r="L105" s="9" t="s">
        <v>71</v>
      </c>
      <c r="M105" s="9"/>
      <c r="N105" s="9">
        <f>ROUND((IF(G105="",Analysis!$B$2,G105)-F105)/365.25,1)</f>
        <v>4.9000000000000004</v>
      </c>
      <c r="O105" s="9" t="str">
        <f>IF(G105="","",YEAR(G105))</f>
        <v/>
      </c>
      <c r="P105" s="9" t="str">
        <f>IF(E105&lt;30,"&lt;30",IF(E105&lt;40,"30-39","40+"))</f>
        <v>30-39</v>
      </c>
    </row>
    <row r="106" spans="1:16" x14ac:dyDescent="0.25">
      <c r="A106" s="9" t="s">
        <v>600</v>
      </c>
      <c r="B106" s="9" t="s">
        <v>62</v>
      </c>
      <c r="C106" s="9" t="s">
        <v>109</v>
      </c>
      <c r="D106" s="9" t="s">
        <v>110</v>
      </c>
      <c r="E106" s="9">
        <v>27</v>
      </c>
      <c r="F106" s="20">
        <v>45942</v>
      </c>
      <c r="G106" s="20"/>
      <c r="H106" s="9" t="s">
        <v>51</v>
      </c>
      <c r="I106" s="21">
        <v>36900</v>
      </c>
      <c r="J106" s="9">
        <v>3</v>
      </c>
      <c r="K106" s="9">
        <v>3</v>
      </c>
      <c r="L106" s="9" t="s">
        <v>71</v>
      </c>
      <c r="M106" s="9"/>
      <c r="N106" s="9">
        <f>ROUND((IF(G106="",Analysis!$B$2,G106)-F106)/365.25,1)</f>
        <v>1</v>
      </c>
      <c r="O106" s="9" t="str">
        <f>IF(G106="","",YEAR(G106))</f>
        <v/>
      </c>
      <c r="P106" s="9" t="str">
        <f>IF(E106&lt;30,"&lt;30",IF(E106&lt;40,"30-39","40+"))</f>
        <v>&lt;30</v>
      </c>
    </row>
    <row r="107" spans="1:16" x14ac:dyDescent="0.25">
      <c r="A107" s="9" t="s">
        <v>380</v>
      </c>
      <c r="B107" s="9" t="s">
        <v>58</v>
      </c>
      <c r="C107" s="9" t="s">
        <v>128</v>
      </c>
      <c r="D107" s="9" t="s">
        <v>110</v>
      </c>
      <c r="E107" s="9">
        <v>21</v>
      </c>
      <c r="F107" s="20">
        <v>43439</v>
      </c>
      <c r="G107" s="20">
        <v>43856</v>
      </c>
      <c r="H107" s="9" t="s">
        <v>103</v>
      </c>
      <c r="I107" s="21">
        <v>37500</v>
      </c>
      <c r="J107" s="9">
        <v>3</v>
      </c>
      <c r="K107" s="9">
        <v>1</v>
      </c>
      <c r="L107" s="9" t="s">
        <v>71</v>
      </c>
      <c r="M107" s="9" t="s">
        <v>80</v>
      </c>
      <c r="N107" s="9">
        <f>ROUND((IF(G107="",Analysis!$B$2,G107)-F107)/365.25,1)</f>
        <v>1.1000000000000001</v>
      </c>
      <c r="O107" s="9">
        <f>IF(G107="","",YEAR(G107))</f>
        <v>2020</v>
      </c>
      <c r="P107" s="9" t="str">
        <f>IF(E107&lt;30,"&lt;30",IF(E107&lt;40,"30-39","40+"))</f>
        <v>&lt;30</v>
      </c>
    </row>
    <row r="108" spans="1:16" x14ac:dyDescent="0.25">
      <c r="A108" s="9" t="s">
        <v>651</v>
      </c>
      <c r="B108" s="9" t="s">
        <v>58</v>
      </c>
      <c r="C108" s="9" t="s">
        <v>128</v>
      </c>
      <c r="D108" s="9" t="s">
        <v>110</v>
      </c>
      <c r="E108" s="9">
        <v>27</v>
      </c>
      <c r="F108" s="20">
        <v>43482</v>
      </c>
      <c r="G108" s="20"/>
      <c r="H108" s="9" t="s">
        <v>51</v>
      </c>
      <c r="I108" s="21">
        <v>37600</v>
      </c>
      <c r="J108" s="9">
        <v>3</v>
      </c>
      <c r="K108" s="9">
        <v>4</v>
      </c>
      <c r="L108" s="9" t="s">
        <v>71</v>
      </c>
      <c r="M108" s="9"/>
      <c r="N108" s="9">
        <f>ROUND((IF(G108="",Analysis!$B$2,G108)-F108)/365.25,1)</f>
        <v>7.8</v>
      </c>
      <c r="O108" s="9" t="str">
        <f>IF(G108="","",YEAR(G108))</f>
        <v/>
      </c>
      <c r="P108" s="9" t="str">
        <f>IF(E108&lt;30,"&lt;30",IF(E108&lt;40,"30-39","40+"))</f>
        <v>&lt;30</v>
      </c>
    </row>
    <row r="109" spans="1:16" x14ac:dyDescent="0.25">
      <c r="A109" s="9" t="s">
        <v>368</v>
      </c>
      <c r="B109" s="9" t="s">
        <v>62</v>
      </c>
      <c r="C109" s="9" t="s">
        <v>109</v>
      </c>
      <c r="D109" s="9" t="s">
        <v>102</v>
      </c>
      <c r="E109" s="9">
        <v>28</v>
      </c>
      <c r="F109" s="20">
        <v>43740</v>
      </c>
      <c r="G109" s="20">
        <v>46166</v>
      </c>
      <c r="H109" s="9" t="s">
        <v>103</v>
      </c>
      <c r="I109" s="21">
        <v>37600</v>
      </c>
      <c r="J109" s="9">
        <v>3</v>
      </c>
      <c r="K109" s="9">
        <v>3</v>
      </c>
      <c r="L109" s="9" t="s">
        <v>70</v>
      </c>
      <c r="M109" s="9" t="s">
        <v>82</v>
      </c>
      <c r="N109" s="9">
        <f>ROUND((IF(G109="",Analysis!$B$2,G109)-F109)/365.25,1)</f>
        <v>6.6</v>
      </c>
      <c r="O109" s="9">
        <f>IF(G109="","",YEAR(G109))</f>
        <v>2026</v>
      </c>
      <c r="P109" s="9" t="str">
        <f>IF(E109&lt;30,"&lt;30",IF(E109&lt;40,"30-39","40+"))</f>
        <v>&lt;30</v>
      </c>
    </row>
    <row r="110" spans="1:16" x14ac:dyDescent="0.25">
      <c r="A110" s="9" t="s">
        <v>338</v>
      </c>
      <c r="B110" s="9" t="s">
        <v>57</v>
      </c>
      <c r="C110" s="9" t="s">
        <v>147</v>
      </c>
      <c r="D110" s="9" t="s">
        <v>102</v>
      </c>
      <c r="E110" s="9">
        <v>26</v>
      </c>
      <c r="F110" s="20">
        <v>45806</v>
      </c>
      <c r="G110" s="20">
        <v>46200</v>
      </c>
      <c r="H110" s="9" t="s">
        <v>103</v>
      </c>
      <c r="I110" s="21">
        <v>38300</v>
      </c>
      <c r="J110" s="9">
        <v>3</v>
      </c>
      <c r="K110" s="9">
        <v>2</v>
      </c>
      <c r="L110" s="9" t="s">
        <v>70</v>
      </c>
      <c r="M110" s="9" t="s">
        <v>80</v>
      </c>
      <c r="N110" s="9">
        <f>ROUND((IF(G110="",Analysis!$B$2,G110)-F110)/365.25,1)</f>
        <v>1.1000000000000001</v>
      </c>
      <c r="O110" s="9">
        <f>IF(G110="","",YEAR(G110))</f>
        <v>2026</v>
      </c>
      <c r="P110" s="9" t="str">
        <f>IF(E110&lt;30,"&lt;30",IF(E110&lt;40,"30-39","40+"))</f>
        <v>&lt;30</v>
      </c>
    </row>
    <row r="111" spans="1:16" x14ac:dyDescent="0.25">
      <c r="A111" s="9" t="s">
        <v>500</v>
      </c>
      <c r="B111" s="9" t="s">
        <v>57</v>
      </c>
      <c r="C111" s="9" t="s">
        <v>147</v>
      </c>
      <c r="D111" s="9" t="s">
        <v>102</v>
      </c>
      <c r="E111" s="9">
        <v>28</v>
      </c>
      <c r="F111" s="20">
        <v>43637</v>
      </c>
      <c r="G111" s="20"/>
      <c r="H111" s="9" t="s">
        <v>51</v>
      </c>
      <c r="I111" s="21">
        <v>38400</v>
      </c>
      <c r="J111" s="9">
        <v>3</v>
      </c>
      <c r="K111" s="9">
        <v>3</v>
      </c>
      <c r="L111" s="9" t="s">
        <v>71</v>
      </c>
      <c r="M111" s="9"/>
      <c r="N111" s="9">
        <f>ROUND((IF(G111="",Analysis!$B$2,G111)-F111)/365.25,1)</f>
        <v>7.4</v>
      </c>
      <c r="O111" s="9" t="str">
        <f>IF(G111="","",YEAR(G111))</f>
        <v/>
      </c>
      <c r="P111" s="9" t="str">
        <f>IF(E111&lt;30,"&lt;30",IF(E111&lt;40,"30-39","40+"))</f>
        <v>&lt;30</v>
      </c>
    </row>
    <row r="112" spans="1:16" x14ac:dyDescent="0.25">
      <c r="A112" s="9" t="s">
        <v>676</v>
      </c>
      <c r="B112" s="9" t="s">
        <v>62</v>
      </c>
      <c r="C112" s="9" t="s">
        <v>109</v>
      </c>
      <c r="D112" s="9" t="s">
        <v>110</v>
      </c>
      <c r="E112" s="9">
        <v>31</v>
      </c>
      <c r="F112" s="20">
        <v>46184</v>
      </c>
      <c r="G112" s="20"/>
      <c r="H112" s="9" t="s">
        <v>51</v>
      </c>
      <c r="I112" s="21">
        <v>38700</v>
      </c>
      <c r="J112" s="9">
        <v>3</v>
      </c>
      <c r="K112" s="9">
        <v>3</v>
      </c>
      <c r="L112" s="9" t="s">
        <v>71</v>
      </c>
      <c r="M112" s="9"/>
      <c r="N112" s="9">
        <f>ROUND((IF(G112="",Analysis!$B$2,G112)-F112)/365.25,1)</f>
        <v>0.4</v>
      </c>
      <c r="O112" s="9" t="str">
        <f>IF(G112="","",YEAR(G112))</f>
        <v/>
      </c>
      <c r="P112" s="9" t="str">
        <f>IF(E112&lt;30,"&lt;30",IF(E112&lt;40,"30-39","40+"))</f>
        <v>30-39</v>
      </c>
    </row>
    <row r="113" spans="1:16" x14ac:dyDescent="0.25">
      <c r="A113" s="9" t="s">
        <v>295</v>
      </c>
      <c r="B113" s="9" t="s">
        <v>58</v>
      </c>
      <c r="C113" s="9" t="s">
        <v>128</v>
      </c>
      <c r="D113" s="9" t="s">
        <v>110</v>
      </c>
      <c r="E113" s="9">
        <v>36</v>
      </c>
      <c r="F113" s="20">
        <v>46203</v>
      </c>
      <c r="G113" s="20"/>
      <c r="H113" s="9" t="s">
        <v>51</v>
      </c>
      <c r="I113" s="21">
        <v>39200</v>
      </c>
      <c r="J113" s="9">
        <v>3</v>
      </c>
      <c r="K113" s="9">
        <v>4</v>
      </c>
      <c r="L113" s="9" t="s">
        <v>71</v>
      </c>
      <c r="M113" s="9"/>
      <c r="N113" s="9">
        <f>ROUND((IF(G113="",Analysis!$B$2,G113)-F113)/365.25,1)</f>
        <v>0.3</v>
      </c>
      <c r="O113" s="9" t="str">
        <f>IF(G113="","",YEAR(G113))</f>
        <v/>
      </c>
      <c r="P113" s="9" t="str">
        <f>IF(E113&lt;30,"&lt;30",IF(E113&lt;40,"30-39","40+"))</f>
        <v>30-39</v>
      </c>
    </row>
    <row r="114" spans="1:16" x14ac:dyDescent="0.25">
      <c r="A114" s="9" t="s">
        <v>252</v>
      </c>
      <c r="B114" s="9" t="s">
        <v>58</v>
      </c>
      <c r="C114" s="9" t="s">
        <v>128</v>
      </c>
      <c r="D114" s="9" t="s">
        <v>102</v>
      </c>
      <c r="E114" s="9">
        <v>29</v>
      </c>
      <c r="F114" s="20">
        <v>44734</v>
      </c>
      <c r="G114" s="20"/>
      <c r="H114" s="9" t="s">
        <v>51</v>
      </c>
      <c r="I114" s="21">
        <v>39300</v>
      </c>
      <c r="J114" s="9">
        <v>3</v>
      </c>
      <c r="K114" s="9">
        <v>2</v>
      </c>
      <c r="L114" s="9" t="s">
        <v>71</v>
      </c>
      <c r="M114" s="9"/>
      <c r="N114" s="9">
        <f>ROUND((IF(G114="",Analysis!$B$2,G114)-F114)/365.25,1)</f>
        <v>4.3</v>
      </c>
      <c r="O114" s="9" t="str">
        <f>IF(G114="","",YEAR(G114))</f>
        <v/>
      </c>
      <c r="P114" s="9" t="str">
        <f>IF(E114&lt;30,"&lt;30",IF(E114&lt;40,"30-39","40+"))</f>
        <v>&lt;30</v>
      </c>
    </row>
    <row r="115" spans="1:16" x14ac:dyDescent="0.25">
      <c r="A115" s="9" t="s">
        <v>657</v>
      </c>
      <c r="B115" s="9" t="s">
        <v>57</v>
      </c>
      <c r="C115" s="9" t="s">
        <v>147</v>
      </c>
      <c r="D115" s="9" t="s">
        <v>110</v>
      </c>
      <c r="E115" s="9">
        <v>21</v>
      </c>
      <c r="F115" s="20">
        <v>45331</v>
      </c>
      <c r="G115" s="20">
        <v>45735</v>
      </c>
      <c r="H115" s="9" t="s">
        <v>103</v>
      </c>
      <c r="I115" s="21">
        <v>39400</v>
      </c>
      <c r="J115" s="9">
        <v>3</v>
      </c>
      <c r="K115" s="9">
        <v>2</v>
      </c>
      <c r="L115" s="9" t="s">
        <v>70</v>
      </c>
      <c r="M115" s="9" t="s">
        <v>81</v>
      </c>
      <c r="N115" s="9">
        <f>ROUND((IF(G115="",Analysis!$B$2,G115)-F115)/365.25,1)</f>
        <v>1.1000000000000001</v>
      </c>
      <c r="O115" s="9">
        <f>IF(G115="","",YEAR(G115))</f>
        <v>2025</v>
      </c>
      <c r="P115" s="9" t="str">
        <f>IF(E115&lt;30,"&lt;30",IF(E115&lt;40,"30-39","40+"))</f>
        <v>&lt;30</v>
      </c>
    </row>
    <row r="116" spans="1:16" x14ac:dyDescent="0.25">
      <c r="A116" s="9" t="s">
        <v>499</v>
      </c>
      <c r="B116" s="9" t="s">
        <v>62</v>
      </c>
      <c r="C116" s="9" t="s">
        <v>109</v>
      </c>
      <c r="D116" s="9" t="s">
        <v>102</v>
      </c>
      <c r="E116" s="9">
        <v>29</v>
      </c>
      <c r="F116" s="20">
        <v>45183</v>
      </c>
      <c r="G116" s="20"/>
      <c r="H116" s="9" t="s">
        <v>51</v>
      </c>
      <c r="I116" s="21">
        <v>39400</v>
      </c>
      <c r="J116" s="9">
        <v>3</v>
      </c>
      <c r="K116" s="9">
        <v>3</v>
      </c>
      <c r="L116" s="9" t="s">
        <v>71</v>
      </c>
      <c r="M116" s="9"/>
      <c r="N116" s="9">
        <f>ROUND((IF(G116="",Analysis!$B$2,G116)-F116)/365.25,1)</f>
        <v>3.1</v>
      </c>
      <c r="O116" s="9" t="str">
        <f>IF(G116="","",YEAR(G116))</f>
        <v/>
      </c>
      <c r="P116" s="9" t="str">
        <f>IF(E116&lt;30,"&lt;30",IF(E116&lt;40,"30-39","40+"))</f>
        <v>&lt;30</v>
      </c>
    </row>
    <row r="117" spans="1:16" x14ac:dyDescent="0.25">
      <c r="A117" s="9" t="s">
        <v>629</v>
      </c>
      <c r="B117" s="9" t="s">
        <v>58</v>
      </c>
      <c r="C117" s="9" t="s">
        <v>128</v>
      </c>
      <c r="D117" s="9" t="s">
        <v>110</v>
      </c>
      <c r="E117" s="9">
        <v>40</v>
      </c>
      <c r="F117" s="20">
        <v>43383</v>
      </c>
      <c r="G117" s="20"/>
      <c r="H117" s="9" t="s">
        <v>51</v>
      </c>
      <c r="I117" s="21">
        <v>40300</v>
      </c>
      <c r="J117" s="9">
        <v>3</v>
      </c>
      <c r="K117" s="9">
        <v>3</v>
      </c>
      <c r="L117" s="9" t="s">
        <v>71</v>
      </c>
      <c r="M117" s="9"/>
      <c r="N117" s="9">
        <f>ROUND((IF(G117="",Analysis!$B$2,G117)-F117)/365.25,1)</f>
        <v>8</v>
      </c>
      <c r="O117" s="9" t="str">
        <f>IF(G117="","",YEAR(G117))</f>
        <v/>
      </c>
      <c r="P117" s="9" t="str">
        <f>IF(E117&lt;30,"&lt;30",IF(E117&lt;40,"30-39","40+"))</f>
        <v>40+</v>
      </c>
    </row>
    <row r="118" spans="1:16" x14ac:dyDescent="0.25">
      <c r="A118" s="9" t="s">
        <v>246</v>
      </c>
      <c r="B118" s="9" t="s">
        <v>57</v>
      </c>
      <c r="C118" s="9" t="s">
        <v>147</v>
      </c>
      <c r="D118" s="9" t="s">
        <v>102</v>
      </c>
      <c r="E118" s="9">
        <v>30</v>
      </c>
      <c r="F118" s="20">
        <v>44966</v>
      </c>
      <c r="G118" s="20"/>
      <c r="H118" s="9" t="s">
        <v>51</v>
      </c>
      <c r="I118" s="21">
        <v>40600</v>
      </c>
      <c r="J118" s="9">
        <v>3</v>
      </c>
      <c r="K118" s="9">
        <v>4</v>
      </c>
      <c r="L118" s="9" t="s">
        <v>71</v>
      </c>
      <c r="M118" s="9"/>
      <c r="N118" s="9">
        <f>ROUND((IF(G118="",Analysis!$B$2,G118)-F118)/365.25,1)</f>
        <v>3.7</v>
      </c>
      <c r="O118" s="9" t="str">
        <f>IF(G118="","",YEAR(G118))</f>
        <v/>
      </c>
      <c r="P118" s="9" t="str">
        <f>IF(E118&lt;30,"&lt;30",IF(E118&lt;40,"30-39","40+"))</f>
        <v>30-39</v>
      </c>
    </row>
    <row r="119" spans="1:16" x14ac:dyDescent="0.25">
      <c r="A119" s="9" t="s">
        <v>513</v>
      </c>
      <c r="B119" s="9" t="s">
        <v>62</v>
      </c>
      <c r="C119" s="9" t="s">
        <v>109</v>
      </c>
      <c r="D119" s="9" t="s">
        <v>110</v>
      </c>
      <c r="E119" s="9">
        <v>30</v>
      </c>
      <c r="F119" s="20">
        <v>44963</v>
      </c>
      <c r="G119" s="20"/>
      <c r="H119" s="9" t="s">
        <v>51</v>
      </c>
      <c r="I119" s="21">
        <v>41000</v>
      </c>
      <c r="J119" s="9">
        <v>3</v>
      </c>
      <c r="K119" s="9">
        <v>4</v>
      </c>
      <c r="L119" s="9" t="s">
        <v>71</v>
      </c>
      <c r="M119" s="9"/>
      <c r="N119" s="9">
        <f>ROUND((IF(G119="",Analysis!$B$2,G119)-F119)/365.25,1)</f>
        <v>3.7</v>
      </c>
      <c r="O119" s="9" t="str">
        <f>IF(G119="","",YEAR(G119))</f>
        <v/>
      </c>
      <c r="P119" s="9" t="str">
        <f>IF(E119&lt;30,"&lt;30",IF(E119&lt;40,"30-39","40+"))</f>
        <v>30-39</v>
      </c>
    </row>
    <row r="120" spans="1:16" x14ac:dyDescent="0.25">
      <c r="A120" s="9" t="s">
        <v>493</v>
      </c>
      <c r="B120" s="9" t="s">
        <v>62</v>
      </c>
      <c r="C120" s="9" t="s">
        <v>109</v>
      </c>
      <c r="D120" s="9" t="s">
        <v>102</v>
      </c>
      <c r="E120" s="9">
        <v>29</v>
      </c>
      <c r="F120" s="20">
        <v>43745</v>
      </c>
      <c r="G120" s="20"/>
      <c r="H120" s="9" t="s">
        <v>51</v>
      </c>
      <c r="I120" s="21">
        <v>41200</v>
      </c>
      <c r="J120" s="9">
        <v>3</v>
      </c>
      <c r="K120" s="9">
        <v>3</v>
      </c>
      <c r="L120" s="9" t="s">
        <v>70</v>
      </c>
      <c r="M120" s="9"/>
      <c r="N120" s="9">
        <f>ROUND((IF(G120="",Analysis!$B$2,G120)-F120)/365.25,1)</f>
        <v>7.1</v>
      </c>
      <c r="O120" s="9" t="str">
        <f>IF(G120="","",YEAR(G120))</f>
        <v/>
      </c>
      <c r="P120" s="9" t="str">
        <f>IF(E120&lt;30,"&lt;30",IF(E120&lt;40,"30-39","40+"))</f>
        <v>&lt;30</v>
      </c>
    </row>
    <row r="121" spans="1:16" x14ac:dyDescent="0.25">
      <c r="A121" s="9" t="s">
        <v>681</v>
      </c>
      <c r="B121" s="9" t="s">
        <v>58</v>
      </c>
      <c r="C121" s="9" t="s">
        <v>128</v>
      </c>
      <c r="D121" s="9" t="s">
        <v>102</v>
      </c>
      <c r="E121" s="9">
        <v>28</v>
      </c>
      <c r="F121" s="20">
        <v>44266</v>
      </c>
      <c r="G121" s="20"/>
      <c r="H121" s="9" t="s">
        <v>51</v>
      </c>
      <c r="I121" s="21">
        <v>41300</v>
      </c>
      <c r="J121" s="9">
        <v>3</v>
      </c>
      <c r="K121" s="9">
        <v>4</v>
      </c>
      <c r="L121" s="9" t="s">
        <v>71</v>
      </c>
      <c r="M121" s="9"/>
      <c r="N121" s="9">
        <f>ROUND((IF(G121="",Analysis!$B$2,G121)-F121)/365.25,1)</f>
        <v>5.6</v>
      </c>
      <c r="O121" s="9" t="str">
        <f>IF(G121="","",YEAR(G121))</f>
        <v/>
      </c>
      <c r="P121" s="9" t="str">
        <f>IF(E121&lt;30,"&lt;30",IF(E121&lt;40,"30-39","40+"))</f>
        <v>&lt;30</v>
      </c>
    </row>
    <row r="122" spans="1:16" x14ac:dyDescent="0.25">
      <c r="A122" s="9" t="s">
        <v>164</v>
      </c>
      <c r="B122" s="9" t="s">
        <v>58</v>
      </c>
      <c r="C122" s="9" t="s">
        <v>101</v>
      </c>
      <c r="D122" s="9" t="s">
        <v>102</v>
      </c>
      <c r="E122" s="9">
        <v>33</v>
      </c>
      <c r="F122" s="20">
        <v>45148</v>
      </c>
      <c r="G122" s="20">
        <v>46091</v>
      </c>
      <c r="H122" s="9" t="s">
        <v>103</v>
      </c>
      <c r="I122" s="21">
        <v>41300</v>
      </c>
      <c r="J122" s="9">
        <v>3</v>
      </c>
      <c r="K122" s="9">
        <v>1</v>
      </c>
      <c r="L122" s="9" t="s">
        <v>71</v>
      </c>
      <c r="M122" s="9" t="s">
        <v>79</v>
      </c>
      <c r="N122" s="9">
        <f>ROUND((IF(G122="",Analysis!$B$2,G122)-F122)/365.25,1)</f>
        <v>2.6</v>
      </c>
      <c r="O122" s="9">
        <f>IF(G122="","",YEAR(G122))</f>
        <v>2026</v>
      </c>
      <c r="P122" s="9" t="str">
        <f>IF(E122&lt;30,"&lt;30",IF(E122&lt;40,"30-39","40+"))</f>
        <v>30-39</v>
      </c>
    </row>
    <row r="123" spans="1:16" x14ac:dyDescent="0.25">
      <c r="A123" s="9" t="s">
        <v>256</v>
      </c>
      <c r="B123" s="9" t="s">
        <v>57</v>
      </c>
      <c r="C123" s="9" t="s">
        <v>147</v>
      </c>
      <c r="D123" s="9" t="s">
        <v>102</v>
      </c>
      <c r="E123" s="9">
        <v>39</v>
      </c>
      <c r="F123" s="20">
        <v>43364</v>
      </c>
      <c r="G123" s="20"/>
      <c r="H123" s="9" t="s">
        <v>51</v>
      </c>
      <c r="I123" s="21">
        <v>41500</v>
      </c>
      <c r="J123" s="9">
        <v>3</v>
      </c>
      <c r="K123" s="9">
        <v>3</v>
      </c>
      <c r="L123" s="9" t="s">
        <v>71</v>
      </c>
      <c r="M123" s="9"/>
      <c r="N123" s="9">
        <f>ROUND((IF(G123="",Analysis!$B$2,G123)-F123)/365.25,1)</f>
        <v>8.1</v>
      </c>
      <c r="O123" s="9" t="str">
        <f>IF(G123="","",YEAR(G123))</f>
        <v/>
      </c>
      <c r="P123" s="9" t="str">
        <f>IF(E123&lt;30,"&lt;30",IF(E123&lt;40,"30-39","40+"))</f>
        <v>30-39</v>
      </c>
    </row>
    <row r="124" spans="1:16" x14ac:dyDescent="0.25">
      <c r="A124" s="9" t="s">
        <v>449</v>
      </c>
      <c r="B124" s="9" t="s">
        <v>62</v>
      </c>
      <c r="C124" s="9" t="s">
        <v>109</v>
      </c>
      <c r="D124" s="9" t="s">
        <v>110</v>
      </c>
      <c r="E124" s="9">
        <v>37</v>
      </c>
      <c r="F124" s="20">
        <v>43444</v>
      </c>
      <c r="G124" s="20">
        <v>43563</v>
      </c>
      <c r="H124" s="9" t="s">
        <v>103</v>
      </c>
      <c r="I124" s="21">
        <v>42100</v>
      </c>
      <c r="J124" s="9">
        <v>3</v>
      </c>
      <c r="K124" s="9">
        <v>5</v>
      </c>
      <c r="L124" s="9" t="s">
        <v>70</v>
      </c>
      <c r="M124" s="9" t="s">
        <v>82</v>
      </c>
      <c r="N124" s="9">
        <f>ROUND((IF(G124="",Analysis!$B$2,G124)-F124)/365.25,1)</f>
        <v>0.3</v>
      </c>
      <c r="O124" s="9">
        <f>IF(G124="","",YEAR(G124))</f>
        <v>2019</v>
      </c>
      <c r="P124" s="9" t="str">
        <f>IF(E124&lt;30,"&lt;30",IF(E124&lt;40,"30-39","40+"))</f>
        <v>30-39</v>
      </c>
    </row>
    <row r="125" spans="1:16" x14ac:dyDescent="0.25">
      <c r="A125" s="9" t="s">
        <v>276</v>
      </c>
      <c r="B125" s="9" t="s">
        <v>62</v>
      </c>
      <c r="C125" s="9" t="s">
        <v>109</v>
      </c>
      <c r="D125" s="9" t="s">
        <v>102</v>
      </c>
      <c r="E125" s="9">
        <v>37</v>
      </c>
      <c r="F125" s="20">
        <v>43898</v>
      </c>
      <c r="G125" s="20"/>
      <c r="H125" s="9" t="s">
        <v>51</v>
      </c>
      <c r="I125" s="21">
        <v>42600</v>
      </c>
      <c r="J125" s="9">
        <v>3</v>
      </c>
      <c r="K125" s="9">
        <v>4</v>
      </c>
      <c r="L125" s="9" t="s">
        <v>70</v>
      </c>
      <c r="M125" s="9"/>
      <c r="N125" s="9">
        <f>ROUND((IF(G125="",Analysis!$B$2,G125)-F125)/365.25,1)</f>
        <v>6.6</v>
      </c>
      <c r="O125" s="9" t="str">
        <f>IF(G125="","",YEAR(G125))</f>
        <v/>
      </c>
      <c r="P125" s="9" t="str">
        <f>IF(E125&lt;30,"&lt;30",IF(E125&lt;40,"30-39","40+"))</f>
        <v>30-39</v>
      </c>
    </row>
    <row r="126" spans="1:16" x14ac:dyDescent="0.25">
      <c r="A126" s="9" t="s">
        <v>491</v>
      </c>
      <c r="B126" s="9" t="s">
        <v>57</v>
      </c>
      <c r="C126" s="9" t="s">
        <v>147</v>
      </c>
      <c r="D126" s="9" t="s">
        <v>110</v>
      </c>
      <c r="E126" s="9">
        <v>40</v>
      </c>
      <c r="F126" s="20">
        <v>45005</v>
      </c>
      <c r="G126" s="20"/>
      <c r="H126" s="9" t="s">
        <v>51</v>
      </c>
      <c r="I126" s="21">
        <v>42600</v>
      </c>
      <c r="J126" s="9">
        <v>3</v>
      </c>
      <c r="K126" s="9">
        <v>4</v>
      </c>
      <c r="L126" s="9" t="s">
        <v>71</v>
      </c>
      <c r="M126" s="9"/>
      <c r="N126" s="9">
        <f>ROUND((IF(G126="",Analysis!$B$2,G126)-F126)/365.25,1)</f>
        <v>3.6</v>
      </c>
      <c r="O126" s="9" t="str">
        <f>IF(G126="","",YEAR(G126))</f>
        <v/>
      </c>
      <c r="P126" s="9" t="str">
        <f>IF(E126&lt;30,"&lt;30",IF(E126&lt;40,"30-39","40+"))</f>
        <v>40+</v>
      </c>
    </row>
    <row r="127" spans="1:16" x14ac:dyDescent="0.25">
      <c r="A127" s="9" t="s">
        <v>337</v>
      </c>
      <c r="B127" s="9" t="s">
        <v>62</v>
      </c>
      <c r="C127" s="9" t="s">
        <v>109</v>
      </c>
      <c r="D127" s="9" t="s">
        <v>110</v>
      </c>
      <c r="E127" s="9">
        <v>48</v>
      </c>
      <c r="F127" s="20">
        <v>45235</v>
      </c>
      <c r="G127" s="20">
        <v>46284</v>
      </c>
      <c r="H127" s="9" t="s">
        <v>103</v>
      </c>
      <c r="I127" s="21">
        <v>42800</v>
      </c>
      <c r="J127" s="9">
        <v>3</v>
      </c>
      <c r="K127" s="9">
        <v>2</v>
      </c>
      <c r="L127" s="9" t="s">
        <v>71</v>
      </c>
      <c r="M127" s="9" t="s">
        <v>81</v>
      </c>
      <c r="N127" s="9">
        <f>ROUND((IF(G127="",Analysis!$B$2,G127)-F127)/365.25,1)</f>
        <v>2.9</v>
      </c>
      <c r="O127" s="9">
        <f>IF(G127="","",YEAR(G127))</f>
        <v>2026</v>
      </c>
      <c r="P127" s="9" t="str">
        <f>IF(E127&lt;30,"&lt;30",IF(E127&lt;40,"30-39","40+"))</f>
        <v>40+</v>
      </c>
    </row>
    <row r="128" spans="1:16" x14ac:dyDescent="0.25">
      <c r="A128" s="9" t="s">
        <v>288</v>
      </c>
      <c r="B128" s="9" t="s">
        <v>57</v>
      </c>
      <c r="C128" s="9" t="s">
        <v>147</v>
      </c>
      <c r="D128" s="9" t="s">
        <v>110</v>
      </c>
      <c r="E128" s="9">
        <v>31</v>
      </c>
      <c r="F128" s="20">
        <v>45887</v>
      </c>
      <c r="G128" s="20">
        <v>45978</v>
      </c>
      <c r="H128" s="9" t="s">
        <v>103</v>
      </c>
      <c r="I128" s="21">
        <v>42900</v>
      </c>
      <c r="J128" s="9">
        <v>3</v>
      </c>
      <c r="K128" s="9">
        <v>4</v>
      </c>
      <c r="L128" s="9" t="s">
        <v>71</v>
      </c>
      <c r="M128" s="9" t="s">
        <v>84</v>
      </c>
      <c r="N128" s="9">
        <f>ROUND((IF(G128="",Analysis!$B$2,G128)-F128)/365.25,1)</f>
        <v>0.2</v>
      </c>
      <c r="O128" s="9">
        <f>IF(G128="","",YEAR(G128))</f>
        <v>2025</v>
      </c>
      <c r="P128" s="9" t="str">
        <f>IF(E128&lt;30,"&lt;30",IF(E128&lt;40,"30-39","40+"))</f>
        <v>30-39</v>
      </c>
    </row>
    <row r="129" spans="1:16" x14ac:dyDescent="0.25">
      <c r="A129" s="9" t="s">
        <v>533</v>
      </c>
      <c r="B129" s="9" t="s">
        <v>62</v>
      </c>
      <c r="C129" s="9" t="s">
        <v>109</v>
      </c>
      <c r="D129" s="9" t="s">
        <v>110</v>
      </c>
      <c r="E129" s="9">
        <v>32</v>
      </c>
      <c r="F129" s="20">
        <v>43967</v>
      </c>
      <c r="G129" s="20">
        <v>45409</v>
      </c>
      <c r="H129" s="9" t="s">
        <v>103</v>
      </c>
      <c r="I129" s="21">
        <v>43300</v>
      </c>
      <c r="J129" s="9">
        <v>3</v>
      </c>
      <c r="K129" s="9">
        <v>2</v>
      </c>
      <c r="L129" s="9" t="s">
        <v>70</v>
      </c>
      <c r="M129" s="9" t="s">
        <v>81</v>
      </c>
      <c r="N129" s="9">
        <f>ROUND((IF(G129="",Analysis!$B$2,G129)-F129)/365.25,1)</f>
        <v>3.9</v>
      </c>
      <c r="O129" s="9">
        <f>IF(G129="","",YEAR(G129))</f>
        <v>2024</v>
      </c>
      <c r="P129" s="9" t="str">
        <f>IF(E129&lt;30,"&lt;30",IF(E129&lt;40,"30-39","40+"))</f>
        <v>30-39</v>
      </c>
    </row>
    <row r="130" spans="1:16" x14ac:dyDescent="0.25">
      <c r="A130" s="9" t="s">
        <v>610</v>
      </c>
      <c r="B130" s="9" t="s">
        <v>62</v>
      </c>
      <c r="C130" s="9" t="s">
        <v>109</v>
      </c>
      <c r="D130" s="9" t="s">
        <v>110</v>
      </c>
      <c r="E130" s="9">
        <v>29</v>
      </c>
      <c r="F130" s="20">
        <v>46219</v>
      </c>
      <c r="G130" s="20"/>
      <c r="H130" s="9" t="s">
        <v>51</v>
      </c>
      <c r="I130" s="21">
        <v>43400</v>
      </c>
      <c r="J130" s="9">
        <v>3</v>
      </c>
      <c r="K130" s="9">
        <v>1</v>
      </c>
      <c r="L130" s="9" t="s">
        <v>71</v>
      </c>
      <c r="M130" s="9"/>
      <c r="N130" s="9">
        <f>ROUND((IF(G130="",Analysis!$B$2,G130)-F130)/365.25,1)</f>
        <v>0.3</v>
      </c>
      <c r="O130" s="9" t="str">
        <f>IF(G130="","",YEAR(G130))</f>
        <v/>
      </c>
      <c r="P130" s="9" t="str">
        <f>IF(E130&lt;30,"&lt;30",IF(E130&lt;40,"30-39","40+"))</f>
        <v>&lt;30</v>
      </c>
    </row>
    <row r="131" spans="1:16" x14ac:dyDescent="0.25">
      <c r="A131" s="9" t="s">
        <v>331</v>
      </c>
      <c r="B131" s="9" t="s">
        <v>57</v>
      </c>
      <c r="C131" s="9" t="s">
        <v>147</v>
      </c>
      <c r="D131" s="9" t="s">
        <v>102</v>
      </c>
      <c r="E131" s="9">
        <v>29</v>
      </c>
      <c r="F131" s="20">
        <v>44895</v>
      </c>
      <c r="G131" s="20"/>
      <c r="H131" s="9" t="s">
        <v>51</v>
      </c>
      <c r="I131" s="21">
        <v>43600</v>
      </c>
      <c r="J131" s="9">
        <v>3</v>
      </c>
      <c r="K131" s="9">
        <v>3</v>
      </c>
      <c r="L131" s="9" t="s">
        <v>71</v>
      </c>
      <c r="M131" s="9"/>
      <c r="N131" s="9">
        <f>ROUND((IF(G131="",Analysis!$B$2,G131)-F131)/365.25,1)</f>
        <v>3.9</v>
      </c>
      <c r="O131" s="9" t="str">
        <f>IF(G131="","",YEAR(G131))</f>
        <v/>
      </c>
      <c r="P131" s="9" t="str">
        <f>IF(E131&lt;30,"&lt;30",IF(E131&lt;40,"30-39","40+"))</f>
        <v>&lt;30</v>
      </c>
    </row>
    <row r="132" spans="1:16" x14ac:dyDescent="0.25">
      <c r="A132" s="9" t="s">
        <v>384</v>
      </c>
      <c r="B132" s="9" t="s">
        <v>57</v>
      </c>
      <c r="C132" s="9" t="s">
        <v>147</v>
      </c>
      <c r="D132" s="9" t="s">
        <v>110</v>
      </c>
      <c r="E132" s="9">
        <v>22</v>
      </c>
      <c r="F132" s="20">
        <v>44478</v>
      </c>
      <c r="G132" s="20">
        <v>45140</v>
      </c>
      <c r="H132" s="9" t="s">
        <v>103</v>
      </c>
      <c r="I132" s="21">
        <v>43800</v>
      </c>
      <c r="J132" s="9">
        <v>3</v>
      </c>
      <c r="K132" s="9">
        <v>5</v>
      </c>
      <c r="L132" s="9" t="s">
        <v>70</v>
      </c>
      <c r="M132" s="9" t="s">
        <v>83</v>
      </c>
      <c r="N132" s="9">
        <f>ROUND((IF(G132="",Analysis!$B$2,G132)-F132)/365.25,1)</f>
        <v>1.8</v>
      </c>
      <c r="O132" s="9">
        <f>IF(G132="","",YEAR(G132))</f>
        <v>2023</v>
      </c>
      <c r="P132" s="9" t="str">
        <f>IF(E132&lt;30,"&lt;30",IF(E132&lt;40,"30-39","40+"))</f>
        <v>&lt;30</v>
      </c>
    </row>
    <row r="133" spans="1:16" x14ac:dyDescent="0.25">
      <c r="A133" s="9" t="s">
        <v>200</v>
      </c>
      <c r="B133" s="9" t="s">
        <v>58</v>
      </c>
      <c r="C133" s="9" t="s">
        <v>101</v>
      </c>
      <c r="D133" s="9" t="s">
        <v>110</v>
      </c>
      <c r="E133" s="9">
        <v>35</v>
      </c>
      <c r="F133" s="20">
        <v>44997</v>
      </c>
      <c r="G133" s="20">
        <v>45318</v>
      </c>
      <c r="H133" s="9" t="s">
        <v>103</v>
      </c>
      <c r="I133" s="21">
        <v>43900</v>
      </c>
      <c r="J133" s="9">
        <v>3</v>
      </c>
      <c r="K133" s="9">
        <v>3</v>
      </c>
      <c r="L133" s="9" t="s">
        <v>71</v>
      </c>
      <c r="M133" s="9" t="s">
        <v>79</v>
      </c>
      <c r="N133" s="9">
        <f>ROUND((IF(G133="",Analysis!$B$2,G133)-F133)/365.25,1)</f>
        <v>0.9</v>
      </c>
      <c r="O133" s="9">
        <f>IF(G133="","",YEAR(G133))</f>
        <v>2024</v>
      </c>
      <c r="P133" s="9" t="str">
        <f>IF(E133&lt;30,"&lt;30",IF(E133&lt;40,"30-39","40+"))</f>
        <v>30-39</v>
      </c>
    </row>
    <row r="134" spans="1:16" x14ac:dyDescent="0.25">
      <c r="A134" s="9" t="s">
        <v>241</v>
      </c>
      <c r="B134" s="9" t="s">
        <v>62</v>
      </c>
      <c r="C134" s="9" t="s">
        <v>109</v>
      </c>
      <c r="D134" s="9" t="s">
        <v>102</v>
      </c>
      <c r="E134" s="9">
        <v>42</v>
      </c>
      <c r="F134" s="20">
        <v>46202</v>
      </c>
      <c r="G134" s="20"/>
      <c r="H134" s="9" t="s">
        <v>51</v>
      </c>
      <c r="I134" s="21">
        <v>44300</v>
      </c>
      <c r="J134" s="9">
        <v>3</v>
      </c>
      <c r="K134" s="9">
        <v>3</v>
      </c>
      <c r="L134" s="9" t="s">
        <v>71</v>
      </c>
      <c r="M134" s="9"/>
      <c r="N134" s="9">
        <f>ROUND((IF(G134="",Analysis!$B$2,G134)-F134)/365.25,1)</f>
        <v>0.3</v>
      </c>
      <c r="O134" s="9" t="str">
        <f>IF(G134="","",YEAR(G134))</f>
        <v/>
      </c>
      <c r="P134" s="9" t="str">
        <f>IF(E134&lt;30,"&lt;30",IF(E134&lt;40,"30-39","40+"))</f>
        <v>40+</v>
      </c>
    </row>
    <row r="135" spans="1:16" x14ac:dyDescent="0.25">
      <c r="A135" s="9" t="s">
        <v>627</v>
      </c>
      <c r="B135" s="9" t="s">
        <v>63</v>
      </c>
      <c r="C135" s="9" t="s">
        <v>125</v>
      </c>
      <c r="D135" s="9" t="s">
        <v>110</v>
      </c>
      <c r="E135" s="9">
        <v>35</v>
      </c>
      <c r="F135" s="20">
        <v>44825</v>
      </c>
      <c r="G135" s="20"/>
      <c r="H135" s="9" t="s">
        <v>51</v>
      </c>
      <c r="I135" s="21">
        <v>44800</v>
      </c>
      <c r="J135" s="9">
        <v>3</v>
      </c>
      <c r="K135" s="9">
        <v>5</v>
      </c>
      <c r="L135" s="9" t="s">
        <v>71</v>
      </c>
      <c r="M135" s="9"/>
      <c r="N135" s="9">
        <f>ROUND((IF(G135="",Analysis!$B$2,G135)-F135)/365.25,1)</f>
        <v>4.0999999999999996</v>
      </c>
      <c r="O135" s="9" t="str">
        <f>IF(G135="","",YEAR(G135))</f>
        <v/>
      </c>
      <c r="P135" s="9" t="str">
        <f>IF(E135&lt;30,"&lt;30",IF(E135&lt;40,"30-39","40+"))</f>
        <v>30-39</v>
      </c>
    </row>
    <row r="136" spans="1:16" x14ac:dyDescent="0.25">
      <c r="A136" s="9" t="s">
        <v>685</v>
      </c>
      <c r="B136" s="9" t="s">
        <v>58</v>
      </c>
      <c r="C136" s="9" t="s">
        <v>101</v>
      </c>
      <c r="D136" s="9" t="s">
        <v>102</v>
      </c>
      <c r="E136" s="9">
        <v>28</v>
      </c>
      <c r="F136" s="20">
        <v>43534</v>
      </c>
      <c r="G136" s="20"/>
      <c r="H136" s="9" t="s">
        <v>51</v>
      </c>
      <c r="I136" s="21">
        <v>45100</v>
      </c>
      <c r="J136" s="9">
        <v>3</v>
      </c>
      <c r="K136" s="9">
        <v>4</v>
      </c>
      <c r="L136" s="9" t="s">
        <v>70</v>
      </c>
      <c r="M136" s="9"/>
      <c r="N136" s="9">
        <f>ROUND((IF(G136="",Analysis!$B$2,G136)-F136)/365.25,1)</f>
        <v>7.6</v>
      </c>
      <c r="O136" s="9" t="str">
        <f>IF(G136="","",YEAR(G136))</f>
        <v/>
      </c>
      <c r="P136" s="9" t="str">
        <f>IF(E136&lt;30,"&lt;30",IF(E136&lt;40,"30-39","40+"))</f>
        <v>&lt;30</v>
      </c>
    </row>
    <row r="137" spans="1:16" x14ac:dyDescent="0.25">
      <c r="A137" s="9" t="s">
        <v>358</v>
      </c>
      <c r="B137" s="9" t="s">
        <v>57</v>
      </c>
      <c r="C137" s="9" t="s">
        <v>147</v>
      </c>
      <c r="D137" s="9" t="s">
        <v>110</v>
      </c>
      <c r="E137" s="9">
        <v>40</v>
      </c>
      <c r="F137" s="20">
        <v>45810</v>
      </c>
      <c r="G137" s="20"/>
      <c r="H137" s="9" t="s">
        <v>51</v>
      </c>
      <c r="I137" s="21">
        <v>45100</v>
      </c>
      <c r="J137" s="9">
        <v>3</v>
      </c>
      <c r="K137" s="9">
        <v>3</v>
      </c>
      <c r="L137" s="9" t="s">
        <v>71</v>
      </c>
      <c r="M137" s="9"/>
      <c r="N137" s="9">
        <f>ROUND((IF(G137="",Analysis!$B$2,G137)-F137)/365.25,1)</f>
        <v>1.4</v>
      </c>
      <c r="O137" s="9" t="str">
        <f>IF(G137="","",YEAR(G137))</f>
        <v/>
      </c>
      <c r="P137" s="9" t="str">
        <f>IF(E137&lt;30,"&lt;30",IF(E137&lt;40,"30-39","40+"))</f>
        <v>40+</v>
      </c>
    </row>
    <row r="138" spans="1:16" x14ac:dyDescent="0.25">
      <c r="A138" s="9" t="s">
        <v>100</v>
      </c>
      <c r="B138" s="9" t="s">
        <v>58</v>
      </c>
      <c r="C138" s="9" t="s">
        <v>101</v>
      </c>
      <c r="D138" s="9" t="s">
        <v>102</v>
      </c>
      <c r="E138" s="9">
        <v>33</v>
      </c>
      <c r="F138" s="20">
        <v>44734</v>
      </c>
      <c r="G138" s="20">
        <v>45744</v>
      </c>
      <c r="H138" s="9" t="s">
        <v>103</v>
      </c>
      <c r="I138" s="21">
        <v>45400</v>
      </c>
      <c r="J138" s="9">
        <v>3</v>
      </c>
      <c r="K138" s="9">
        <v>3</v>
      </c>
      <c r="L138" s="9" t="s">
        <v>70</v>
      </c>
      <c r="M138" s="9" t="s">
        <v>80</v>
      </c>
      <c r="N138" s="9">
        <f>ROUND((IF(G138="",Analysis!$B$2,G138)-F138)/365.25,1)</f>
        <v>2.8</v>
      </c>
      <c r="O138" s="9">
        <f>IF(G138="","",YEAR(G138))</f>
        <v>2025</v>
      </c>
      <c r="P138" s="9" t="str">
        <f>IF(E138&lt;30,"&lt;30",IF(E138&lt;40,"30-39","40+"))</f>
        <v>30-39</v>
      </c>
    </row>
    <row r="139" spans="1:16" x14ac:dyDescent="0.25">
      <c r="A139" s="9" t="s">
        <v>292</v>
      </c>
      <c r="B139" s="9" t="s">
        <v>58</v>
      </c>
      <c r="C139" s="9" t="s">
        <v>101</v>
      </c>
      <c r="D139" s="9" t="s">
        <v>110</v>
      </c>
      <c r="E139" s="9">
        <v>45</v>
      </c>
      <c r="F139" s="20">
        <v>43279</v>
      </c>
      <c r="G139" s="20"/>
      <c r="H139" s="9" t="s">
        <v>51</v>
      </c>
      <c r="I139" s="21">
        <v>45400</v>
      </c>
      <c r="J139" s="9">
        <v>3</v>
      </c>
      <c r="K139" s="9">
        <v>5</v>
      </c>
      <c r="L139" s="9" t="s">
        <v>71</v>
      </c>
      <c r="M139" s="9"/>
      <c r="N139" s="9">
        <f>ROUND((IF(G139="",Analysis!$B$2,G139)-F139)/365.25,1)</f>
        <v>8.3000000000000007</v>
      </c>
      <c r="O139" s="9" t="str">
        <f>IF(G139="","",YEAR(G139))</f>
        <v/>
      </c>
      <c r="P139" s="9" t="str">
        <f>IF(E139&lt;30,"&lt;30",IF(E139&lt;40,"30-39","40+"))</f>
        <v>40+</v>
      </c>
    </row>
    <row r="140" spans="1:16" x14ac:dyDescent="0.25">
      <c r="A140" s="9" t="s">
        <v>390</v>
      </c>
      <c r="B140" s="9" t="s">
        <v>57</v>
      </c>
      <c r="C140" s="9" t="s">
        <v>147</v>
      </c>
      <c r="D140" s="9" t="s">
        <v>102</v>
      </c>
      <c r="E140" s="9">
        <v>41</v>
      </c>
      <c r="F140" s="20">
        <v>44078</v>
      </c>
      <c r="G140" s="20">
        <v>45678</v>
      </c>
      <c r="H140" s="9" t="s">
        <v>103</v>
      </c>
      <c r="I140" s="21">
        <v>45600</v>
      </c>
      <c r="J140" s="9">
        <v>3</v>
      </c>
      <c r="K140" s="9">
        <v>4</v>
      </c>
      <c r="L140" s="9" t="s">
        <v>70</v>
      </c>
      <c r="M140" s="9" t="s">
        <v>80</v>
      </c>
      <c r="N140" s="9">
        <f>ROUND((IF(G140="",Analysis!$B$2,G140)-F140)/365.25,1)</f>
        <v>4.4000000000000004</v>
      </c>
      <c r="O140" s="9">
        <f>IF(G140="","",YEAR(G140))</f>
        <v>2025</v>
      </c>
      <c r="P140" s="9" t="str">
        <f>IF(E140&lt;30,"&lt;30",IF(E140&lt;40,"30-39","40+"))</f>
        <v>40+</v>
      </c>
    </row>
    <row r="141" spans="1:16" x14ac:dyDescent="0.25">
      <c r="A141" s="9" t="s">
        <v>419</v>
      </c>
      <c r="B141" s="9" t="s">
        <v>62</v>
      </c>
      <c r="C141" s="9" t="s">
        <v>109</v>
      </c>
      <c r="D141" s="9" t="s">
        <v>102</v>
      </c>
      <c r="E141" s="9">
        <v>29</v>
      </c>
      <c r="F141" s="20">
        <v>44062</v>
      </c>
      <c r="G141" s="20"/>
      <c r="H141" s="9" t="s">
        <v>51</v>
      </c>
      <c r="I141" s="21">
        <v>45700</v>
      </c>
      <c r="J141" s="9">
        <v>3</v>
      </c>
      <c r="K141" s="9">
        <v>5</v>
      </c>
      <c r="L141" s="9" t="s">
        <v>71</v>
      </c>
      <c r="M141" s="9"/>
      <c r="N141" s="9">
        <f>ROUND((IF(G141="",Analysis!$B$2,G141)-F141)/365.25,1)</f>
        <v>6.2</v>
      </c>
      <c r="O141" s="9" t="str">
        <f>IF(G141="","",YEAR(G141))</f>
        <v/>
      </c>
      <c r="P141" s="9" t="str">
        <f>IF(E141&lt;30,"&lt;30",IF(E141&lt;40,"30-39","40+"))</f>
        <v>&lt;30</v>
      </c>
    </row>
    <row r="142" spans="1:16" x14ac:dyDescent="0.25">
      <c r="A142" s="9" t="s">
        <v>396</v>
      </c>
      <c r="B142" s="9" t="s">
        <v>57</v>
      </c>
      <c r="C142" s="9" t="s">
        <v>147</v>
      </c>
      <c r="D142" s="9" t="s">
        <v>102</v>
      </c>
      <c r="E142" s="9">
        <v>28</v>
      </c>
      <c r="F142" s="20">
        <v>43350</v>
      </c>
      <c r="G142" s="20"/>
      <c r="H142" s="9" t="s">
        <v>51</v>
      </c>
      <c r="I142" s="21">
        <v>46000</v>
      </c>
      <c r="J142" s="9">
        <v>3</v>
      </c>
      <c r="K142" s="9">
        <v>5</v>
      </c>
      <c r="L142" s="9" t="s">
        <v>71</v>
      </c>
      <c r="M142" s="9"/>
      <c r="N142" s="9">
        <f>ROUND((IF(G142="",Analysis!$B$2,G142)-F142)/365.25,1)</f>
        <v>8.1</v>
      </c>
      <c r="O142" s="9" t="str">
        <f>IF(G142="","",YEAR(G142))</f>
        <v/>
      </c>
      <c r="P142" s="9" t="str">
        <f>IF(E142&lt;30,"&lt;30",IF(E142&lt;40,"30-39","40+"))</f>
        <v>&lt;30</v>
      </c>
    </row>
    <row r="143" spans="1:16" x14ac:dyDescent="0.25">
      <c r="A143" s="9" t="s">
        <v>232</v>
      </c>
      <c r="B143" s="9" t="s">
        <v>62</v>
      </c>
      <c r="C143" s="9" t="s">
        <v>116</v>
      </c>
      <c r="D143" s="9" t="s">
        <v>102</v>
      </c>
      <c r="E143" s="9">
        <v>29</v>
      </c>
      <c r="F143" s="20">
        <v>43467</v>
      </c>
      <c r="G143" s="20"/>
      <c r="H143" s="9" t="s">
        <v>51</v>
      </c>
      <c r="I143" s="21">
        <v>46100</v>
      </c>
      <c r="J143" s="9">
        <v>3</v>
      </c>
      <c r="K143" s="9">
        <v>3</v>
      </c>
      <c r="L143" s="9" t="s">
        <v>71</v>
      </c>
      <c r="M143" s="9"/>
      <c r="N143" s="9">
        <f>ROUND((IF(G143="",Analysis!$B$2,G143)-F143)/365.25,1)</f>
        <v>7.8</v>
      </c>
      <c r="O143" s="9" t="str">
        <f>IF(G143="","",YEAR(G143))</f>
        <v/>
      </c>
      <c r="P143" s="9" t="str">
        <f>IF(E143&lt;30,"&lt;30",IF(E143&lt;40,"30-39","40+"))</f>
        <v>&lt;30</v>
      </c>
    </row>
    <row r="144" spans="1:16" x14ac:dyDescent="0.25">
      <c r="A144" s="9" t="s">
        <v>258</v>
      </c>
      <c r="B144" s="9" t="s">
        <v>62</v>
      </c>
      <c r="C144" s="9" t="s">
        <v>109</v>
      </c>
      <c r="D144" s="9" t="s">
        <v>102</v>
      </c>
      <c r="E144" s="9">
        <v>38</v>
      </c>
      <c r="F144" s="20">
        <v>45580</v>
      </c>
      <c r="G144" s="20"/>
      <c r="H144" s="9" t="s">
        <v>51</v>
      </c>
      <c r="I144" s="21">
        <v>46100</v>
      </c>
      <c r="J144" s="9">
        <v>3</v>
      </c>
      <c r="K144" s="9">
        <v>3</v>
      </c>
      <c r="L144" s="9" t="s">
        <v>71</v>
      </c>
      <c r="M144" s="9"/>
      <c r="N144" s="9">
        <f>ROUND((IF(G144="",Analysis!$B$2,G144)-F144)/365.25,1)</f>
        <v>2</v>
      </c>
      <c r="O144" s="9" t="str">
        <f>IF(G144="","",YEAR(G144))</f>
        <v/>
      </c>
      <c r="P144" s="9" t="str">
        <f>IF(E144&lt;30,"&lt;30",IF(E144&lt;40,"30-39","40+"))</f>
        <v>30-39</v>
      </c>
    </row>
    <row r="145" spans="1:16" x14ac:dyDescent="0.25">
      <c r="A145" s="9" t="s">
        <v>398</v>
      </c>
      <c r="B145" s="9" t="s">
        <v>58</v>
      </c>
      <c r="C145" s="9" t="s">
        <v>101</v>
      </c>
      <c r="D145" s="9" t="s">
        <v>102</v>
      </c>
      <c r="E145" s="9">
        <v>38</v>
      </c>
      <c r="F145" s="20">
        <v>45775</v>
      </c>
      <c r="G145" s="20">
        <v>46258</v>
      </c>
      <c r="H145" s="9" t="s">
        <v>103</v>
      </c>
      <c r="I145" s="21">
        <v>46200</v>
      </c>
      <c r="J145" s="9">
        <v>3</v>
      </c>
      <c r="K145" s="9">
        <v>5</v>
      </c>
      <c r="L145" s="9" t="s">
        <v>71</v>
      </c>
      <c r="M145" s="9" t="s">
        <v>79</v>
      </c>
      <c r="N145" s="9">
        <f>ROUND((IF(G145="",Analysis!$B$2,G145)-F145)/365.25,1)</f>
        <v>1.3</v>
      </c>
      <c r="O145" s="9">
        <f>IF(G145="","",YEAR(G145))</f>
        <v>2026</v>
      </c>
      <c r="P145" s="9" t="str">
        <f>IF(E145&lt;30,"&lt;30",IF(E145&lt;40,"30-39","40+"))</f>
        <v>30-39</v>
      </c>
    </row>
    <row r="146" spans="1:16" x14ac:dyDescent="0.25">
      <c r="A146" s="9" t="s">
        <v>584</v>
      </c>
      <c r="B146" s="9" t="s">
        <v>62</v>
      </c>
      <c r="C146" s="9" t="s">
        <v>116</v>
      </c>
      <c r="D146" s="9" t="s">
        <v>102</v>
      </c>
      <c r="E146" s="9">
        <v>21</v>
      </c>
      <c r="F146" s="20">
        <v>44943</v>
      </c>
      <c r="G146" s="20">
        <v>46273</v>
      </c>
      <c r="H146" s="9" t="s">
        <v>103</v>
      </c>
      <c r="I146" s="21">
        <v>46300</v>
      </c>
      <c r="J146" s="9">
        <v>3</v>
      </c>
      <c r="K146" s="9">
        <v>3</v>
      </c>
      <c r="L146" s="9" t="s">
        <v>71</v>
      </c>
      <c r="M146" s="9" t="s">
        <v>80</v>
      </c>
      <c r="N146" s="9">
        <f>ROUND((IF(G146="",Analysis!$B$2,G146)-F146)/365.25,1)</f>
        <v>3.6</v>
      </c>
      <c r="O146" s="9">
        <f>IF(G146="","",YEAR(G146))</f>
        <v>2026</v>
      </c>
      <c r="P146" s="9" t="str">
        <f>IF(E146&lt;30,"&lt;30",IF(E146&lt;40,"30-39","40+"))</f>
        <v>&lt;30</v>
      </c>
    </row>
    <row r="147" spans="1:16" x14ac:dyDescent="0.25">
      <c r="A147" s="9" t="s">
        <v>146</v>
      </c>
      <c r="B147" s="9" t="s">
        <v>57</v>
      </c>
      <c r="C147" s="9" t="s">
        <v>147</v>
      </c>
      <c r="D147" s="9" t="s">
        <v>110</v>
      </c>
      <c r="E147" s="9">
        <v>44</v>
      </c>
      <c r="F147" s="20">
        <v>43130</v>
      </c>
      <c r="G147" s="20">
        <v>45208</v>
      </c>
      <c r="H147" s="9" t="s">
        <v>103</v>
      </c>
      <c r="I147" s="21">
        <v>46300</v>
      </c>
      <c r="J147" s="9">
        <v>3</v>
      </c>
      <c r="K147" s="9">
        <v>4</v>
      </c>
      <c r="L147" s="9" t="s">
        <v>70</v>
      </c>
      <c r="M147" s="9" t="s">
        <v>80</v>
      </c>
      <c r="N147" s="9">
        <f>ROUND((IF(G147="",Analysis!$B$2,G147)-F147)/365.25,1)</f>
        <v>5.7</v>
      </c>
      <c r="O147" s="9">
        <f>IF(G147="","",YEAR(G147))</f>
        <v>2023</v>
      </c>
      <c r="P147" s="9" t="str">
        <f>IF(E147&lt;30,"&lt;30",IF(E147&lt;40,"30-39","40+"))</f>
        <v>40+</v>
      </c>
    </row>
    <row r="148" spans="1:16" x14ac:dyDescent="0.25">
      <c r="A148" s="9" t="s">
        <v>224</v>
      </c>
      <c r="B148" s="9" t="s">
        <v>62</v>
      </c>
      <c r="C148" s="9" t="s">
        <v>109</v>
      </c>
      <c r="D148" s="9" t="s">
        <v>102</v>
      </c>
      <c r="E148" s="9">
        <v>29</v>
      </c>
      <c r="F148" s="20">
        <v>44960</v>
      </c>
      <c r="G148" s="20"/>
      <c r="H148" s="9" t="s">
        <v>51</v>
      </c>
      <c r="I148" s="21">
        <v>46400</v>
      </c>
      <c r="J148" s="9">
        <v>3</v>
      </c>
      <c r="K148" s="9">
        <v>4</v>
      </c>
      <c r="L148" s="9" t="s">
        <v>70</v>
      </c>
      <c r="M148" s="9"/>
      <c r="N148" s="9">
        <f>ROUND((IF(G148="",Analysis!$B$2,G148)-F148)/365.25,1)</f>
        <v>3.7</v>
      </c>
      <c r="O148" s="9" t="str">
        <f>IF(G148="","",YEAR(G148))</f>
        <v/>
      </c>
      <c r="P148" s="9" t="str">
        <f>IF(E148&lt;30,"&lt;30",IF(E148&lt;40,"30-39","40+"))</f>
        <v>&lt;30</v>
      </c>
    </row>
    <row r="149" spans="1:16" x14ac:dyDescent="0.25">
      <c r="A149" s="9" t="s">
        <v>369</v>
      </c>
      <c r="B149" s="9" t="s">
        <v>62</v>
      </c>
      <c r="C149" s="9" t="s">
        <v>109</v>
      </c>
      <c r="D149" s="9" t="s">
        <v>193</v>
      </c>
      <c r="E149" s="9">
        <v>30</v>
      </c>
      <c r="F149" s="20">
        <v>45277</v>
      </c>
      <c r="G149" s="20"/>
      <c r="H149" s="9" t="s">
        <v>51</v>
      </c>
      <c r="I149" s="21">
        <v>46600</v>
      </c>
      <c r="J149" s="9">
        <v>3</v>
      </c>
      <c r="K149" s="9">
        <v>2</v>
      </c>
      <c r="L149" s="9" t="s">
        <v>71</v>
      </c>
      <c r="M149" s="9"/>
      <c r="N149" s="9">
        <f>ROUND((IF(G149="",Analysis!$B$2,G149)-F149)/365.25,1)</f>
        <v>2.9</v>
      </c>
      <c r="O149" s="9" t="str">
        <f>IF(G149="","",YEAR(G149))</f>
        <v/>
      </c>
      <c r="P149" s="9" t="str">
        <f>IF(E149&lt;30,"&lt;30",IF(E149&lt;40,"30-39","40+"))</f>
        <v>30-39</v>
      </c>
    </row>
    <row r="150" spans="1:16" x14ac:dyDescent="0.25">
      <c r="A150" s="9" t="s">
        <v>592</v>
      </c>
      <c r="B150" s="9" t="s">
        <v>58</v>
      </c>
      <c r="C150" s="9" t="s">
        <v>101</v>
      </c>
      <c r="D150" s="9" t="s">
        <v>102</v>
      </c>
      <c r="E150" s="9">
        <v>46</v>
      </c>
      <c r="F150" s="20">
        <v>44919</v>
      </c>
      <c r="G150" s="20"/>
      <c r="H150" s="9" t="s">
        <v>51</v>
      </c>
      <c r="I150" s="21">
        <v>46700</v>
      </c>
      <c r="J150" s="9">
        <v>3</v>
      </c>
      <c r="K150" s="9">
        <v>4</v>
      </c>
      <c r="L150" s="9" t="s">
        <v>71</v>
      </c>
      <c r="M150" s="9"/>
      <c r="N150" s="9">
        <f>ROUND((IF(G150="",Analysis!$B$2,G150)-F150)/365.25,1)</f>
        <v>3.8</v>
      </c>
      <c r="O150" s="9" t="str">
        <f>IF(G150="","",YEAR(G150))</f>
        <v/>
      </c>
      <c r="P150" s="9" t="str">
        <f>IF(E150&lt;30,"&lt;30",IF(E150&lt;40,"30-39","40+"))</f>
        <v>40+</v>
      </c>
    </row>
    <row r="151" spans="1:16" x14ac:dyDescent="0.25">
      <c r="A151" s="9" t="s">
        <v>273</v>
      </c>
      <c r="B151" s="9" t="s">
        <v>57</v>
      </c>
      <c r="C151" s="9" t="s">
        <v>147</v>
      </c>
      <c r="D151" s="9" t="s">
        <v>102</v>
      </c>
      <c r="E151" s="9">
        <v>29</v>
      </c>
      <c r="F151" s="20">
        <v>44446</v>
      </c>
      <c r="G151" s="20"/>
      <c r="H151" s="9" t="s">
        <v>51</v>
      </c>
      <c r="I151" s="21">
        <v>46800</v>
      </c>
      <c r="J151" s="9">
        <v>3</v>
      </c>
      <c r="K151" s="9">
        <v>4</v>
      </c>
      <c r="L151" s="9" t="s">
        <v>71</v>
      </c>
      <c r="M151" s="9"/>
      <c r="N151" s="9">
        <f>ROUND((IF(G151="",Analysis!$B$2,G151)-F151)/365.25,1)</f>
        <v>5.0999999999999996</v>
      </c>
      <c r="O151" s="9" t="str">
        <f>IF(G151="","",YEAR(G151))</f>
        <v/>
      </c>
      <c r="P151" s="9" t="str">
        <f>IF(E151&lt;30,"&lt;30",IF(E151&lt;40,"30-39","40+"))</f>
        <v>&lt;30</v>
      </c>
    </row>
    <row r="152" spans="1:16" x14ac:dyDescent="0.25">
      <c r="A152" s="9" t="s">
        <v>236</v>
      </c>
      <c r="B152" s="9" t="s">
        <v>60</v>
      </c>
      <c r="C152" s="9" t="s">
        <v>130</v>
      </c>
      <c r="D152" s="9" t="s">
        <v>110</v>
      </c>
      <c r="E152" s="9">
        <v>29</v>
      </c>
      <c r="F152" s="20">
        <v>43474</v>
      </c>
      <c r="G152" s="20"/>
      <c r="H152" s="9" t="s">
        <v>51</v>
      </c>
      <c r="I152" s="21">
        <v>47100</v>
      </c>
      <c r="J152" s="9">
        <v>3</v>
      </c>
      <c r="K152" s="9">
        <v>3</v>
      </c>
      <c r="L152" s="9" t="s">
        <v>71</v>
      </c>
      <c r="M152" s="9"/>
      <c r="N152" s="9">
        <f>ROUND((IF(G152="",Analysis!$B$2,G152)-F152)/365.25,1)</f>
        <v>7.8</v>
      </c>
      <c r="O152" s="9" t="str">
        <f>IF(G152="","",YEAR(G152))</f>
        <v/>
      </c>
      <c r="P152" s="9" t="str">
        <f>IF(E152&lt;30,"&lt;30",IF(E152&lt;40,"30-39","40+"))</f>
        <v>&lt;30</v>
      </c>
    </row>
    <row r="153" spans="1:16" x14ac:dyDescent="0.25">
      <c r="A153" s="9" t="s">
        <v>374</v>
      </c>
      <c r="B153" s="9" t="s">
        <v>62</v>
      </c>
      <c r="C153" s="9" t="s">
        <v>109</v>
      </c>
      <c r="D153" s="9" t="s">
        <v>110</v>
      </c>
      <c r="E153" s="9">
        <v>41</v>
      </c>
      <c r="F153" s="20">
        <v>45880</v>
      </c>
      <c r="G153" s="20"/>
      <c r="H153" s="9" t="s">
        <v>51</v>
      </c>
      <c r="I153" s="21">
        <v>47100</v>
      </c>
      <c r="J153" s="9">
        <v>3</v>
      </c>
      <c r="K153" s="9">
        <v>3</v>
      </c>
      <c r="L153" s="9" t="s">
        <v>71</v>
      </c>
      <c r="M153" s="9"/>
      <c r="N153" s="9">
        <f>ROUND((IF(G153="",Analysis!$B$2,G153)-F153)/365.25,1)</f>
        <v>1.2</v>
      </c>
      <c r="O153" s="9" t="str">
        <f>IF(G153="","",YEAR(G153))</f>
        <v/>
      </c>
      <c r="P153" s="9" t="str">
        <f>IF(E153&lt;30,"&lt;30",IF(E153&lt;40,"30-39","40+"))</f>
        <v>40+</v>
      </c>
    </row>
    <row r="154" spans="1:16" x14ac:dyDescent="0.25">
      <c r="A154" s="9" t="s">
        <v>643</v>
      </c>
      <c r="B154" s="9" t="s">
        <v>57</v>
      </c>
      <c r="C154" s="9" t="s">
        <v>147</v>
      </c>
      <c r="D154" s="9" t="s">
        <v>110</v>
      </c>
      <c r="E154" s="9">
        <v>21</v>
      </c>
      <c r="F154" s="20">
        <v>44170</v>
      </c>
      <c r="G154" s="20"/>
      <c r="H154" s="9" t="s">
        <v>51</v>
      </c>
      <c r="I154" s="21">
        <v>47600</v>
      </c>
      <c r="J154" s="9">
        <v>3</v>
      </c>
      <c r="K154" s="9">
        <v>5</v>
      </c>
      <c r="L154" s="9" t="s">
        <v>70</v>
      </c>
      <c r="M154" s="9"/>
      <c r="N154" s="9">
        <f>ROUND((IF(G154="",Analysis!$B$2,G154)-F154)/365.25,1)</f>
        <v>5.9</v>
      </c>
      <c r="O154" s="9" t="str">
        <f>IF(G154="","",YEAR(G154))</f>
        <v/>
      </c>
      <c r="P154" s="9" t="str">
        <f>IF(E154&lt;30,"&lt;30",IF(E154&lt;40,"30-39","40+"))</f>
        <v>&lt;30</v>
      </c>
    </row>
    <row r="155" spans="1:16" x14ac:dyDescent="0.25">
      <c r="A155" s="9" t="s">
        <v>448</v>
      </c>
      <c r="B155" s="9" t="s">
        <v>62</v>
      </c>
      <c r="C155" s="9" t="s">
        <v>116</v>
      </c>
      <c r="D155" s="9" t="s">
        <v>102</v>
      </c>
      <c r="E155" s="9">
        <v>22</v>
      </c>
      <c r="F155" s="20">
        <v>45094</v>
      </c>
      <c r="G155" s="20">
        <v>45625</v>
      </c>
      <c r="H155" s="9" t="s">
        <v>103</v>
      </c>
      <c r="I155" s="21">
        <v>47800</v>
      </c>
      <c r="J155" s="9">
        <v>3</v>
      </c>
      <c r="K155" s="9">
        <v>4</v>
      </c>
      <c r="L155" s="9" t="s">
        <v>70</v>
      </c>
      <c r="M155" s="9" t="s">
        <v>85</v>
      </c>
      <c r="N155" s="9">
        <f>ROUND((IF(G155="",Analysis!$B$2,G155)-F155)/365.25,1)</f>
        <v>1.5</v>
      </c>
      <c r="O155" s="9">
        <f>IF(G155="","",YEAR(G155))</f>
        <v>2024</v>
      </c>
      <c r="P155" s="9" t="str">
        <f>IF(E155&lt;30,"&lt;30",IF(E155&lt;40,"30-39","40+"))</f>
        <v>&lt;30</v>
      </c>
    </row>
    <row r="156" spans="1:16" x14ac:dyDescent="0.25">
      <c r="A156" s="9" t="s">
        <v>208</v>
      </c>
      <c r="B156" s="9" t="s">
        <v>57</v>
      </c>
      <c r="C156" s="9" t="s">
        <v>147</v>
      </c>
      <c r="D156" s="9" t="s">
        <v>102</v>
      </c>
      <c r="E156" s="9">
        <v>25</v>
      </c>
      <c r="F156" s="20">
        <v>44096</v>
      </c>
      <c r="G156" s="20"/>
      <c r="H156" s="9" t="s">
        <v>51</v>
      </c>
      <c r="I156" s="21">
        <v>48600</v>
      </c>
      <c r="J156" s="9">
        <v>3</v>
      </c>
      <c r="K156" s="9">
        <v>4</v>
      </c>
      <c r="L156" s="9" t="s">
        <v>71</v>
      </c>
      <c r="M156" s="9"/>
      <c r="N156" s="9">
        <f>ROUND((IF(G156="",Analysis!$B$2,G156)-F156)/365.25,1)</f>
        <v>6.1</v>
      </c>
      <c r="O156" s="9" t="str">
        <f>IF(G156="","",YEAR(G156))</f>
        <v/>
      </c>
      <c r="P156" s="9" t="str">
        <f>IF(E156&lt;30,"&lt;30",IF(E156&lt;40,"30-39","40+"))</f>
        <v>&lt;30</v>
      </c>
    </row>
    <row r="157" spans="1:16" x14ac:dyDescent="0.25">
      <c r="A157" s="9" t="s">
        <v>501</v>
      </c>
      <c r="B157" s="9" t="s">
        <v>62</v>
      </c>
      <c r="C157" s="9" t="s">
        <v>116</v>
      </c>
      <c r="D157" s="9" t="s">
        <v>110</v>
      </c>
      <c r="E157" s="9">
        <v>38</v>
      </c>
      <c r="F157" s="20">
        <v>45971</v>
      </c>
      <c r="G157" s="20">
        <v>46178</v>
      </c>
      <c r="H157" s="9" t="s">
        <v>103</v>
      </c>
      <c r="I157" s="21">
        <v>49300</v>
      </c>
      <c r="J157" s="9">
        <v>3</v>
      </c>
      <c r="K157" s="9">
        <v>3</v>
      </c>
      <c r="L157" s="9" t="s">
        <v>71</v>
      </c>
      <c r="M157" s="9" t="s">
        <v>85</v>
      </c>
      <c r="N157" s="9">
        <f>ROUND((IF(G157="",Analysis!$B$2,G157)-F157)/365.25,1)</f>
        <v>0.6</v>
      </c>
      <c r="O157" s="9">
        <f>IF(G157="","",YEAR(G157))</f>
        <v>2026</v>
      </c>
      <c r="P157" s="9" t="str">
        <f>IF(E157&lt;30,"&lt;30",IF(E157&lt;40,"30-39","40+"))</f>
        <v>30-39</v>
      </c>
    </row>
    <row r="158" spans="1:16" x14ac:dyDescent="0.25">
      <c r="A158" s="9" t="s">
        <v>301</v>
      </c>
      <c r="B158" s="9" t="s">
        <v>63</v>
      </c>
      <c r="C158" s="9" t="s">
        <v>125</v>
      </c>
      <c r="D158" s="9" t="s">
        <v>110</v>
      </c>
      <c r="E158" s="9">
        <v>32</v>
      </c>
      <c r="F158" s="20">
        <v>45173</v>
      </c>
      <c r="G158" s="20"/>
      <c r="H158" s="9" t="s">
        <v>51</v>
      </c>
      <c r="I158" s="21">
        <v>50400</v>
      </c>
      <c r="J158" s="9">
        <v>3</v>
      </c>
      <c r="K158" s="9">
        <v>3</v>
      </c>
      <c r="L158" s="9" t="s">
        <v>70</v>
      </c>
      <c r="M158" s="9"/>
      <c r="N158" s="9">
        <f>ROUND((IF(G158="",Analysis!$B$2,G158)-F158)/365.25,1)</f>
        <v>3.1</v>
      </c>
      <c r="O158" s="9" t="str">
        <f>IF(G158="","",YEAR(G158))</f>
        <v/>
      </c>
      <c r="P158" s="9" t="str">
        <f>IF(E158&lt;30,"&lt;30",IF(E158&lt;40,"30-39","40+"))</f>
        <v>30-39</v>
      </c>
    </row>
    <row r="159" spans="1:16" x14ac:dyDescent="0.25">
      <c r="A159" s="9" t="s">
        <v>470</v>
      </c>
      <c r="B159" s="9" t="s">
        <v>62</v>
      </c>
      <c r="C159" s="9" t="s">
        <v>116</v>
      </c>
      <c r="D159" s="9" t="s">
        <v>102</v>
      </c>
      <c r="E159" s="9">
        <v>30</v>
      </c>
      <c r="F159" s="20">
        <v>43152</v>
      </c>
      <c r="G159" s="20"/>
      <c r="H159" s="9" t="s">
        <v>51</v>
      </c>
      <c r="I159" s="21">
        <v>50600</v>
      </c>
      <c r="J159" s="9">
        <v>3</v>
      </c>
      <c r="K159" s="9">
        <v>4</v>
      </c>
      <c r="L159" s="9" t="s">
        <v>70</v>
      </c>
      <c r="M159" s="9"/>
      <c r="N159" s="9">
        <f>ROUND((IF(G159="",Analysis!$B$2,G159)-F159)/365.25,1)</f>
        <v>8.6999999999999993</v>
      </c>
      <c r="O159" s="9" t="str">
        <f>IF(G159="","",YEAR(G159))</f>
        <v/>
      </c>
      <c r="P159" s="9" t="str">
        <f>IF(E159&lt;30,"&lt;30",IF(E159&lt;40,"30-39","40+"))</f>
        <v>30-39</v>
      </c>
    </row>
    <row r="160" spans="1:16" x14ac:dyDescent="0.25">
      <c r="A160" s="9" t="s">
        <v>194</v>
      </c>
      <c r="B160" s="9" t="s">
        <v>58</v>
      </c>
      <c r="C160" s="9" t="s">
        <v>101</v>
      </c>
      <c r="D160" s="9" t="s">
        <v>102</v>
      </c>
      <c r="E160" s="9">
        <v>21</v>
      </c>
      <c r="F160" s="20">
        <v>44371</v>
      </c>
      <c r="G160" s="20"/>
      <c r="H160" s="9" t="s">
        <v>51</v>
      </c>
      <c r="I160" s="21">
        <v>50800</v>
      </c>
      <c r="J160" s="9">
        <v>3</v>
      </c>
      <c r="K160" s="9">
        <v>4</v>
      </c>
      <c r="L160" s="9" t="s">
        <v>71</v>
      </c>
      <c r="M160" s="9"/>
      <c r="N160" s="9">
        <f>ROUND((IF(G160="",Analysis!$B$2,G160)-F160)/365.25,1)</f>
        <v>5.3</v>
      </c>
      <c r="O160" s="9" t="str">
        <f>IF(G160="","",YEAR(G160))</f>
        <v/>
      </c>
      <c r="P160" s="9" t="str">
        <f>IF(E160&lt;30,"&lt;30",IF(E160&lt;40,"30-39","40+"))</f>
        <v>&lt;30</v>
      </c>
    </row>
    <row r="161" spans="1:16" x14ac:dyDescent="0.25">
      <c r="A161" s="9" t="s">
        <v>285</v>
      </c>
      <c r="B161" s="9" t="s">
        <v>58</v>
      </c>
      <c r="C161" s="9" t="s">
        <v>101</v>
      </c>
      <c r="D161" s="9" t="s">
        <v>102</v>
      </c>
      <c r="E161" s="9">
        <v>39</v>
      </c>
      <c r="F161" s="20">
        <v>44332</v>
      </c>
      <c r="G161" s="20">
        <v>44919</v>
      </c>
      <c r="H161" s="9" t="s">
        <v>103</v>
      </c>
      <c r="I161" s="21">
        <v>50800</v>
      </c>
      <c r="J161" s="9">
        <v>3</v>
      </c>
      <c r="K161" s="9">
        <v>2</v>
      </c>
      <c r="L161" s="9" t="s">
        <v>71</v>
      </c>
      <c r="M161" s="9" t="s">
        <v>80</v>
      </c>
      <c r="N161" s="9">
        <f>ROUND((IF(G161="",Analysis!$B$2,G161)-F161)/365.25,1)</f>
        <v>1.6</v>
      </c>
      <c r="O161" s="9">
        <f>IF(G161="","",YEAR(G161))</f>
        <v>2022</v>
      </c>
      <c r="P161" s="9" t="str">
        <f>IF(E161&lt;30,"&lt;30",IF(E161&lt;40,"30-39","40+"))</f>
        <v>30-39</v>
      </c>
    </row>
    <row r="162" spans="1:16" x14ac:dyDescent="0.25">
      <c r="A162" s="9" t="s">
        <v>233</v>
      </c>
      <c r="B162" s="9" t="s">
        <v>58</v>
      </c>
      <c r="C162" s="9" t="s">
        <v>101</v>
      </c>
      <c r="D162" s="9" t="s">
        <v>110</v>
      </c>
      <c r="E162" s="9">
        <v>37</v>
      </c>
      <c r="F162" s="20">
        <v>44455</v>
      </c>
      <c r="G162" s="20"/>
      <c r="H162" s="9" t="s">
        <v>51</v>
      </c>
      <c r="I162" s="21">
        <v>51000</v>
      </c>
      <c r="J162" s="9">
        <v>3</v>
      </c>
      <c r="K162" s="9">
        <v>3</v>
      </c>
      <c r="L162" s="9" t="s">
        <v>70</v>
      </c>
      <c r="M162" s="9"/>
      <c r="N162" s="9">
        <f>ROUND((IF(G162="",Analysis!$B$2,G162)-F162)/365.25,1)</f>
        <v>5.0999999999999996</v>
      </c>
      <c r="O162" s="9" t="str">
        <f>IF(G162="","",YEAR(G162))</f>
        <v/>
      </c>
      <c r="P162" s="9" t="str">
        <f>IF(E162&lt;30,"&lt;30",IF(E162&lt;40,"30-39","40+"))</f>
        <v>30-39</v>
      </c>
    </row>
    <row r="163" spans="1:16" x14ac:dyDescent="0.25">
      <c r="A163" s="9" t="s">
        <v>420</v>
      </c>
      <c r="B163" s="9" t="s">
        <v>58</v>
      </c>
      <c r="C163" s="9" t="s">
        <v>101</v>
      </c>
      <c r="D163" s="9" t="s">
        <v>110</v>
      </c>
      <c r="E163" s="9">
        <v>30</v>
      </c>
      <c r="F163" s="20">
        <v>43396</v>
      </c>
      <c r="G163" s="20"/>
      <c r="H163" s="9" t="s">
        <v>51</v>
      </c>
      <c r="I163" s="21">
        <v>51100</v>
      </c>
      <c r="J163" s="9">
        <v>3</v>
      </c>
      <c r="K163" s="9">
        <v>4</v>
      </c>
      <c r="L163" s="9" t="s">
        <v>71</v>
      </c>
      <c r="M163" s="9"/>
      <c r="N163" s="9">
        <f>ROUND((IF(G163="",Analysis!$B$2,G163)-F163)/365.25,1)</f>
        <v>8</v>
      </c>
      <c r="O163" s="9" t="str">
        <f>IF(G163="","",YEAR(G163))</f>
        <v/>
      </c>
      <c r="P163" s="9" t="str">
        <f>IF(E163&lt;30,"&lt;30",IF(E163&lt;40,"30-39","40+"))</f>
        <v>30-39</v>
      </c>
    </row>
    <row r="164" spans="1:16" x14ac:dyDescent="0.25">
      <c r="A164" s="9" t="s">
        <v>575</v>
      </c>
      <c r="B164" s="9" t="s">
        <v>57</v>
      </c>
      <c r="C164" s="9" t="s">
        <v>147</v>
      </c>
      <c r="D164" s="9" t="s">
        <v>102</v>
      </c>
      <c r="E164" s="9">
        <v>26</v>
      </c>
      <c r="F164" s="20">
        <v>44467</v>
      </c>
      <c r="G164" s="20">
        <v>45757</v>
      </c>
      <c r="H164" s="9" t="s">
        <v>103</v>
      </c>
      <c r="I164" s="21">
        <v>51300</v>
      </c>
      <c r="J164" s="9">
        <v>3</v>
      </c>
      <c r="K164" s="9">
        <v>2</v>
      </c>
      <c r="L164" s="9" t="s">
        <v>70</v>
      </c>
      <c r="M164" s="9" t="s">
        <v>79</v>
      </c>
      <c r="N164" s="9">
        <f>ROUND((IF(G164="",Analysis!$B$2,G164)-F164)/365.25,1)</f>
        <v>3.5</v>
      </c>
      <c r="O164" s="9">
        <f>IF(G164="","",YEAR(G164))</f>
        <v>2025</v>
      </c>
      <c r="P164" s="9" t="str">
        <f>IF(E164&lt;30,"&lt;30",IF(E164&lt;40,"30-39","40+"))</f>
        <v>&lt;30</v>
      </c>
    </row>
    <row r="165" spans="1:16" x14ac:dyDescent="0.25">
      <c r="A165" s="9" t="s">
        <v>443</v>
      </c>
      <c r="B165" s="9" t="s">
        <v>57</v>
      </c>
      <c r="C165" s="9" t="s">
        <v>147</v>
      </c>
      <c r="D165" s="9" t="s">
        <v>110</v>
      </c>
      <c r="E165" s="9">
        <v>25</v>
      </c>
      <c r="F165" s="20">
        <v>43752</v>
      </c>
      <c r="G165" s="20"/>
      <c r="H165" s="9" t="s">
        <v>51</v>
      </c>
      <c r="I165" s="21">
        <v>51500</v>
      </c>
      <c r="J165" s="9">
        <v>3</v>
      </c>
      <c r="K165" s="9">
        <v>3</v>
      </c>
      <c r="L165" s="9" t="s">
        <v>71</v>
      </c>
      <c r="M165" s="9"/>
      <c r="N165" s="9">
        <f>ROUND((IF(G165="",Analysis!$B$2,G165)-F165)/365.25,1)</f>
        <v>7</v>
      </c>
      <c r="O165" s="9" t="str">
        <f>IF(G165="","",YEAR(G165))</f>
        <v/>
      </c>
      <c r="P165" s="9" t="str">
        <f>IF(E165&lt;30,"&lt;30",IF(E165&lt;40,"30-39","40+"))</f>
        <v>&lt;30</v>
      </c>
    </row>
    <row r="166" spans="1:16" x14ac:dyDescent="0.25">
      <c r="A166" s="9" t="s">
        <v>263</v>
      </c>
      <c r="B166" s="9" t="s">
        <v>60</v>
      </c>
      <c r="C166" s="9" t="s">
        <v>130</v>
      </c>
      <c r="D166" s="9" t="s">
        <v>110</v>
      </c>
      <c r="E166" s="9">
        <v>28</v>
      </c>
      <c r="F166" s="20">
        <v>46135</v>
      </c>
      <c r="G166" s="20"/>
      <c r="H166" s="9" t="s">
        <v>51</v>
      </c>
      <c r="I166" s="21">
        <v>51500</v>
      </c>
      <c r="J166" s="9">
        <v>3</v>
      </c>
      <c r="K166" s="9">
        <v>3</v>
      </c>
      <c r="L166" s="9" t="s">
        <v>71</v>
      </c>
      <c r="M166" s="9"/>
      <c r="N166" s="9">
        <f>ROUND((IF(G166="",Analysis!$B$2,G166)-F166)/365.25,1)</f>
        <v>0.5</v>
      </c>
      <c r="O166" s="9" t="str">
        <f>IF(G166="","",YEAR(G166))</f>
        <v/>
      </c>
      <c r="P166" s="9" t="str">
        <f>IF(E166&lt;30,"&lt;30",IF(E166&lt;40,"30-39","40+"))</f>
        <v>&lt;30</v>
      </c>
    </row>
    <row r="167" spans="1:16" x14ac:dyDescent="0.25">
      <c r="A167" s="9" t="s">
        <v>235</v>
      </c>
      <c r="B167" s="9" t="s">
        <v>57</v>
      </c>
      <c r="C167" s="9" t="s">
        <v>147</v>
      </c>
      <c r="D167" s="9" t="s">
        <v>110</v>
      </c>
      <c r="E167" s="9">
        <v>38</v>
      </c>
      <c r="F167" s="20">
        <v>44246</v>
      </c>
      <c r="G167" s="20">
        <v>45740</v>
      </c>
      <c r="H167" s="9" t="s">
        <v>103</v>
      </c>
      <c r="I167" s="21">
        <v>51700</v>
      </c>
      <c r="J167" s="9">
        <v>3</v>
      </c>
      <c r="K167" s="9">
        <v>3</v>
      </c>
      <c r="L167" s="9" t="s">
        <v>70</v>
      </c>
      <c r="M167" s="9" t="s">
        <v>81</v>
      </c>
      <c r="N167" s="9">
        <f>ROUND((IF(G167="",Analysis!$B$2,G167)-F167)/365.25,1)</f>
        <v>4.0999999999999996</v>
      </c>
      <c r="O167" s="9">
        <f>IF(G167="","",YEAR(G167))</f>
        <v>2025</v>
      </c>
      <c r="P167" s="9" t="str">
        <f>IF(E167&lt;30,"&lt;30",IF(E167&lt;40,"30-39","40+"))</f>
        <v>30-39</v>
      </c>
    </row>
    <row r="168" spans="1:16" x14ac:dyDescent="0.25">
      <c r="A168" s="9" t="s">
        <v>271</v>
      </c>
      <c r="B168" s="9" t="s">
        <v>57</v>
      </c>
      <c r="C168" s="9" t="s">
        <v>147</v>
      </c>
      <c r="D168" s="9" t="s">
        <v>102</v>
      </c>
      <c r="E168" s="9">
        <v>34</v>
      </c>
      <c r="F168" s="20">
        <v>44193</v>
      </c>
      <c r="G168" s="20">
        <v>45955</v>
      </c>
      <c r="H168" s="9" t="s">
        <v>103</v>
      </c>
      <c r="I168" s="21">
        <v>51800</v>
      </c>
      <c r="J168" s="9">
        <v>3</v>
      </c>
      <c r="K168" s="9">
        <v>4</v>
      </c>
      <c r="L168" s="9" t="s">
        <v>70</v>
      </c>
      <c r="M168" s="9" t="s">
        <v>82</v>
      </c>
      <c r="N168" s="9">
        <f>ROUND((IF(G168="",Analysis!$B$2,G168)-F168)/365.25,1)</f>
        <v>4.8</v>
      </c>
      <c r="O168" s="9">
        <f>IF(G168="","",YEAR(G168))</f>
        <v>2025</v>
      </c>
      <c r="P168" s="9" t="str">
        <f>IF(E168&lt;30,"&lt;30",IF(E168&lt;40,"30-39","40+"))</f>
        <v>30-39</v>
      </c>
    </row>
    <row r="169" spans="1:16" x14ac:dyDescent="0.25">
      <c r="A169" s="9" t="s">
        <v>450</v>
      </c>
      <c r="B169" s="9" t="s">
        <v>57</v>
      </c>
      <c r="C169" s="9" t="s">
        <v>147</v>
      </c>
      <c r="D169" s="9" t="s">
        <v>110</v>
      </c>
      <c r="E169" s="9">
        <v>40</v>
      </c>
      <c r="F169" s="20">
        <v>45035</v>
      </c>
      <c r="G169" s="20">
        <v>45974</v>
      </c>
      <c r="H169" s="9" t="s">
        <v>103</v>
      </c>
      <c r="I169" s="21">
        <v>51900</v>
      </c>
      <c r="J169" s="9">
        <v>3</v>
      </c>
      <c r="K169" s="9">
        <v>4</v>
      </c>
      <c r="L169" s="9" t="s">
        <v>70</v>
      </c>
      <c r="M169" s="9" t="s">
        <v>81</v>
      </c>
      <c r="N169" s="9">
        <f>ROUND((IF(G169="",Analysis!$B$2,G169)-F169)/365.25,1)</f>
        <v>2.6</v>
      </c>
      <c r="O169" s="9">
        <f>IF(G169="","",YEAR(G169))</f>
        <v>2025</v>
      </c>
      <c r="P169" s="9" t="str">
        <f>IF(E169&lt;30,"&lt;30",IF(E169&lt;40,"30-39","40+"))</f>
        <v>40+</v>
      </c>
    </row>
    <row r="170" spans="1:16" x14ac:dyDescent="0.25">
      <c r="A170" s="9" t="s">
        <v>644</v>
      </c>
      <c r="B170" s="9" t="s">
        <v>57</v>
      </c>
      <c r="C170" s="9" t="s">
        <v>112</v>
      </c>
      <c r="D170" s="9" t="s">
        <v>102</v>
      </c>
      <c r="E170" s="9">
        <v>52</v>
      </c>
      <c r="F170" s="20">
        <v>43640</v>
      </c>
      <c r="G170" s="20">
        <v>44249</v>
      </c>
      <c r="H170" s="9" t="s">
        <v>103</v>
      </c>
      <c r="I170" s="21">
        <v>52000</v>
      </c>
      <c r="J170" s="9">
        <v>3</v>
      </c>
      <c r="K170" s="9">
        <v>4</v>
      </c>
      <c r="L170" s="9" t="s">
        <v>70</v>
      </c>
      <c r="M170" s="9" t="s">
        <v>84</v>
      </c>
      <c r="N170" s="9">
        <f>ROUND((IF(G170="",Analysis!$B$2,G170)-F170)/365.25,1)</f>
        <v>1.7</v>
      </c>
      <c r="O170" s="9">
        <f>IF(G170="","",YEAR(G170))</f>
        <v>2021</v>
      </c>
      <c r="P170" s="9" t="str">
        <f>IF(E170&lt;30,"&lt;30",IF(E170&lt;40,"30-39","40+"))</f>
        <v>40+</v>
      </c>
    </row>
    <row r="171" spans="1:16" x14ac:dyDescent="0.25">
      <c r="A171" s="9" t="s">
        <v>451</v>
      </c>
      <c r="B171" s="9" t="s">
        <v>58</v>
      </c>
      <c r="C171" s="9" t="s">
        <v>121</v>
      </c>
      <c r="D171" s="9" t="s">
        <v>102</v>
      </c>
      <c r="E171" s="9">
        <v>28</v>
      </c>
      <c r="F171" s="20">
        <v>44169</v>
      </c>
      <c r="G171" s="20"/>
      <c r="H171" s="9" t="s">
        <v>51</v>
      </c>
      <c r="I171" s="21">
        <v>52300</v>
      </c>
      <c r="J171" s="9">
        <v>3</v>
      </c>
      <c r="K171" s="9">
        <v>3</v>
      </c>
      <c r="L171" s="9" t="s">
        <v>71</v>
      </c>
      <c r="M171" s="9"/>
      <c r="N171" s="9">
        <f>ROUND((IF(G171="",Analysis!$B$2,G171)-F171)/365.25,1)</f>
        <v>5.9</v>
      </c>
      <c r="O171" s="9" t="str">
        <f>IF(G171="","",YEAR(G171))</f>
        <v/>
      </c>
      <c r="P171" s="9" t="str">
        <f>IF(E171&lt;30,"&lt;30",IF(E171&lt;40,"30-39","40+"))</f>
        <v>&lt;30</v>
      </c>
    </row>
    <row r="172" spans="1:16" x14ac:dyDescent="0.25">
      <c r="A172" s="9" t="s">
        <v>618</v>
      </c>
      <c r="B172" s="9" t="s">
        <v>62</v>
      </c>
      <c r="C172" s="9" t="s">
        <v>116</v>
      </c>
      <c r="D172" s="9" t="s">
        <v>102</v>
      </c>
      <c r="E172" s="9">
        <v>32</v>
      </c>
      <c r="F172" s="20">
        <v>43561</v>
      </c>
      <c r="G172" s="20"/>
      <c r="H172" s="9" t="s">
        <v>51</v>
      </c>
      <c r="I172" s="21">
        <v>52400</v>
      </c>
      <c r="J172" s="9">
        <v>3</v>
      </c>
      <c r="K172" s="9">
        <v>3</v>
      </c>
      <c r="L172" s="9" t="s">
        <v>71</v>
      </c>
      <c r="M172" s="9"/>
      <c r="N172" s="9">
        <f>ROUND((IF(G172="",Analysis!$B$2,G172)-F172)/365.25,1)</f>
        <v>7.6</v>
      </c>
      <c r="O172" s="9" t="str">
        <f>IF(G172="","",YEAR(G172))</f>
        <v/>
      </c>
      <c r="P172" s="9" t="str">
        <f>IF(E172&lt;30,"&lt;30",IF(E172&lt;40,"30-39","40+"))</f>
        <v>30-39</v>
      </c>
    </row>
    <row r="173" spans="1:16" x14ac:dyDescent="0.25">
      <c r="A173" s="9" t="s">
        <v>115</v>
      </c>
      <c r="B173" s="9" t="s">
        <v>62</v>
      </c>
      <c r="C173" s="9" t="s">
        <v>116</v>
      </c>
      <c r="D173" s="9" t="s">
        <v>110</v>
      </c>
      <c r="E173" s="9">
        <v>32</v>
      </c>
      <c r="F173" s="20">
        <v>45107</v>
      </c>
      <c r="G173" s="20">
        <v>46223</v>
      </c>
      <c r="H173" s="9" t="s">
        <v>103</v>
      </c>
      <c r="I173" s="21">
        <v>52600</v>
      </c>
      <c r="J173" s="9">
        <v>3</v>
      </c>
      <c r="K173" s="9">
        <v>2</v>
      </c>
      <c r="L173" s="9" t="s">
        <v>71</v>
      </c>
      <c r="M173" s="9" t="s">
        <v>80</v>
      </c>
      <c r="N173" s="9">
        <f>ROUND((IF(G173="",Analysis!$B$2,G173)-F173)/365.25,1)</f>
        <v>3.1</v>
      </c>
      <c r="O173" s="9">
        <f>IF(G173="","",YEAR(G173))</f>
        <v>2026</v>
      </c>
      <c r="P173" s="9" t="str">
        <f>IF(E173&lt;30,"&lt;30",IF(E173&lt;40,"30-39","40+"))</f>
        <v>30-39</v>
      </c>
    </row>
    <row r="174" spans="1:16" x14ac:dyDescent="0.25">
      <c r="A174" s="9" t="s">
        <v>535</v>
      </c>
      <c r="B174" s="9" t="s">
        <v>63</v>
      </c>
      <c r="C174" s="9" t="s">
        <v>125</v>
      </c>
      <c r="D174" s="9" t="s">
        <v>110</v>
      </c>
      <c r="E174" s="9">
        <v>39</v>
      </c>
      <c r="F174" s="20">
        <v>45902</v>
      </c>
      <c r="G174" s="20"/>
      <c r="H174" s="9" t="s">
        <v>51</v>
      </c>
      <c r="I174" s="21">
        <v>52700</v>
      </c>
      <c r="J174" s="9">
        <v>3</v>
      </c>
      <c r="K174" s="9">
        <v>4</v>
      </c>
      <c r="L174" s="9" t="s">
        <v>71</v>
      </c>
      <c r="M174" s="9"/>
      <c r="N174" s="9">
        <f>ROUND((IF(G174="",Analysis!$B$2,G174)-F174)/365.25,1)</f>
        <v>1.1000000000000001</v>
      </c>
      <c r="O174" s="9" t="str">
        <f>IF(G174="","",YEAR(G174))</f>
        <v/>
      </c>
      <c r="P174" s="9" t="str">
        <f>IF(E174&lt;30,"&lt;30",IF(E174&lt;40,"30-39","40+"))</f>
        <v>30-39</v>
      </c>
    </row>
    <row r="175" spans="1:16" x14ac:dyDescent="0.25">
      <c r="A175" s="9" t="s">
        <v>579</v>
      </c>
      <c r="B175" s="9" t="s">
        <v>61</v>
      </c>
      <c r="C175" s="9" t="s">
        <v>123</v>
      </c>
      <c r="D175" s="9" t="s">
        <v>102</v>
      </c>
      <c r="E175" s="9">
        <v>33</v>
      </c>
      <c r="F175" s="20">
        <v>43968</v>
      </c>
      <c r="G175" s="20"/>
      <c r="H175" s="9" t="s">
        <v>51</v>
      </c>
      <c r="I175" s="21">
        <v>53000</v>
      </c>
      <c r="J175" s="9">
        <v>3</v>
      </c>
      <c r="K175" s="9">
        <v>4</v>
      </c>
      <c r="L175" s="9" t="s">
        <v>71</v>
      </c>
      <c r="M175" s="9"/>
      <c r="N175" s="9">
        <f>ROUND((IF(G175="",Analysis!$B$2,G175)-F175)/365.25,1)</f>
        <v>6.4</v>
      </c>
      <c r="O175" s="9" t="str">
        <f>IF(G175="","",YEAR(G175))</f>
        <v/>
      </c>
      <c r="P175" s="9" t="str">
        <f>IF(E175&lt;30,"&lt;30",IF(E175&lt;40,"30-39","40+"))</f>
        <v>30-39</v>
      </c>
    </row>
    <row r="176" spans="1:16" x14ac:dyDescent="0.25">
      <c r="A176" s="9" t="s">
        <v>410</v>
      </c>
      <c r="B176" s="9" t="s">
        <v>57</v>
      </c>
      <c r="C176" s="9" t="s">
        <v>147</v>
      </c>
      <c r="D176" s="9" t="s">
        <v>102</v>
      </c>
      <c r="E176" s="9">
        <v>26</v>
      </c>
      <c r="F176" s="20">
        <v>46155</v>
      </c>
      <c r="G176" s="20">
        <v>46311</v>
      </c>
      <c r="H176" s="9" t="s">
        <v>103</v>
      </c>
      <c r="I176" s="21">
        <v>53100</v>
      </c>
      <c r="J176" s="9">
        <v>3</v>
      </c>
      <c r="K176" s="9">
        <v>3</v>
      </c>
      <c r="L176" s="9" t="s">
        <v>70</v>
      </c>
      <c r="M176" s="9" t="s">
        <v>81</v>
      </c>
      <c r="N176" s="9">
        <f>ROUND((IF(G176="",Analysis!$B$2,G176)-F176)/365.25,1)</f>
        <v>0.4</v>
      </c>
      <c r="O176" s="9">
        <f>IF(G176="","",YEAR(G176))</f>
        <v>2026</v>
      </c>
      <c r="P176" s="9" t="str">
        <f>IF(E176&lt;30,"&lt;30",IF(E176&lt;40,"30-39","40+"))</f>
        <v>&lt;30</v>
      </c>
    </row>
    <row r="177" spans="1:16" x14ac:dyDescent="0.25">
      <c r="A177" s="9" t="s">
        <v>424</v>
      </c>
      <c r="B177" s="9" t="s">
        <v>58</v>
      </c>
      <c r="C177" s="9" t="s">
        <v>101</v>
      </c>
      <c r="D177" s="9" t="s">
        <v>110</v>
      </c>
      <c r="E177" s="9">
        <v>26</v>
      </c>
      <c r="F177" s="20">
        <v>43230</v>
      </c>
      <c r="G177" s="20"/>
      <c r="H177" s="9" t="s">
        <v>51</v>
      </c>
      <c r="I177" s="21">
        <v>53100</v>
      </c>
      <c r="J177" s="9">
        <v>3</v>
      </c>
      <c r="K177" s="9">
        <v>4</v>
      </c>
      <c r="L177" s="9" t="s">
        <v>71</v>
      </c>
      <c r="M177" s="9"/>
      <c r="N177" s="9">
        <f>ROUND((IF(G177="",Analysis!$B$2,G177)-F177)/365.25,1)</f>
        <v>8.5</v>
      </c>
      <c r="O177" s="9" t="str">
        <f>IF(G177="","",YEAR(G177))</f>
        <v/>
      </c>
      <c r="P177" s="9" t="str">
        <f>IF(E177&lt;30,"&lt;30",IF(E177&lt;40,"30-39","40+"))</f>
        <v>&lt;30</v>
      </c>
    </row>
    <row r="178" spans="1:16" x14ac:dyDescent="0.25">
      <c r="A178" s="9" t="s">
        <v>304</v>
      </c>
      <c r="B178" s="9" t="s">
        <v>58</v>
      </c>
      <c r="C178" s="9" t="s">
        <v>121</v>
      </c>
      <c r="D178" s="9" t="s">
        <v>102</v>
      </c>
      <c r="E178" s="9">
        <v>31</v>
      </c>
      <c r="F178" s="20">
        <v>44261</v>
      </c>
      <c r="G178" s="20"/>
      <c r="H178" s="9" t="s">
        <v>51</v>
      </c>
      <c r="I178" s="21">
        <v>53200</v>
      </c>
      <c r="J178" s="9">
        <v>3</v>
      </c>
      <c r="K178" s="9">
        <v>4</v>
      </c>
      <c r="L178" s="9" t="s">
        <v>71</v>
      </c>
      <c r="M178" s="9"/>
      <c r="N178" s="9">
        <f>ROUND((IF(G178="",Analysis!$B$2,G178)-F178)/365.25,1)</f>
        <v>5.6</v>
      </c>
      <c r="O178" s="9" t="str">
        <f>IF(G178="","",YEAR(G178))</f>
        <v/>
      </c>
      <c r="P178" s="9" t="str">
        <f>IF(E178&lt;30,"&lt;30",IF(E178&lt;40,"30-39","40+"))</f>
        <v>30-39</v>
      </c>
    </row>
    <row r="179" spans="1:16" x14ac:dyDescent="0.25">
      <c r="A179" s="9" t="s">
        <v>494</v>
      </c>
      <c r="B179" s="9" t="s">
        <v>60</v>
      </c>
      <c r="C179" s="9" t="s">
        <v>130</v>
      </c>
      <c r="D179" s="9" t="s">
        <v>110</v>
      </c>
      <c r="E179" s="9">
        <v>49</v>
      </c>
      <c r="F179" s="20">
        <v>46258</v>
      </c>
      <c r="G179" s="20"/>
      <c r="H179" s="9" t="s">
        <v>51</v>
      </c>
      <c r="I179" s="21">
        <v>53700</v>
      </c>
      <c r="J179" s="9">
        <v>3</v>
      </c>
      <c r="K179" s="9">
        <v>1</v>
      </c>
      <c r="L179" s="9" t="s">
        <v>71</v>
      </c>
      <c r="M179" s="9"/>
      <c r="N179" s="9">
        <f>ROUND((IF(G179="",Analysis!$B$2,G179)-F179)/365.25,1)</f>
        <v>0.2</v>
      </c>
      <c r="O179" s="9" t="str">
        <f>IF(G179="","",YEAR(G179))</f>
        <v/>
      </c>
      <c r="P179" s="9" t="str">
        <f>IF(E179&lt;30,"&lt;30",IF(E179&lt;40,"30-39","40+"))</f>
        <v>40+</v>
      </c>
    </row>
    <row r="180" spans="1:16" x14ac:dyDescent="0.25">
      <c r="A180" s="9" t="s">
        <v>422</v>
      </c>
      <c r="B180" s="9" t="s">
        <v>57</v>
      </c>
      <c r="C180" s="9" t="s">
        <v>112</v>
      </c>
      <c r="D180" s="9" t="s">
        <v>102</v>
      </c>
      <c r="E180" s="9">
        <v>32</v>
      </c>
      <c r="F180" s="20">
        <v>43127</v>
      </c>
      <c r="G180" s="20">
        <v>44687</v>
      </c>
      <c r="H180" s="9" t="s">
        <v>103</v>
      </c>
      <c r="I180" s="21">
        <v>53800</v>
      </c>
      <c r="J180" s="9">
        <v>3</v>
      </c>
      <c r="K180" s="9">
        <v>2</v>
      </c>
      <c r="L180" s="9" t="s">
        <v>71</v>
      </c>
      <c r="M180" s="9" t="s">
        <v>80</v>
      </c>
      <c r="N180" s="9">
        <f>ROUND((IF(G180="",Analysis!$B$2,G180)-F180)/365.25,1)</f>
        <v>4.3</v>
      </c>
      <c r="O180" s="9">
        <f>IF(G180="","",YEAR(G180))</f>
        <v>2022</v>
      </c>
      <c r="P180" s="9" t="str">
        <f>IF(E180&lt;30,"&lt;30",IF(E180&lt;40,"30-39","40+"))</f>
        <v>30-39</v>
      </c>
    </row>
    <row r="181" spans="1:16" x14ac:dyDescent="0.25">
      <c r="A181" s="9" t="s">
        <v>142</v>
      </c>
      <c r="B181" s="9" t="s">
        <v>62</v>
      </c>
      <c r="C181" s="9" t="s">
        <v>116</v>
      </c>
      <c r="D181" s="9" t="s">
        <v>102</v>
      </c>
      <c r="E181" s="9">
        <v>29</v>
      </c>
      <c r="F181" s="20">
        <v>43878</v>
      </c>
      <c r="G181" s="20"/>
      <c r="H181" s="9" t="s">
        <v>51</v>
      </c>
      <c r="I181" s="21">
        <v>54600</v>
      </c>
      <c r="J181" s="9">
        <v>3</v>
      </c>
      <c r="K181" s="9">
        <v>3</v>
      </c>
      <c r="L181" s="9" t="s">
        <v>70</v>
      </c>
      <c r="M181" s="9"/>
      <c r="N181" s="9">
        <f>ROUND((IF(G181="",Analysis!$B$2,G181)-F181)/365.25,1)</f>
        <v>6.7</v>
      </c>
      <c r="O181" s="9" t="str">
        <f>IF(G181="","",YEAR(G181))</f>
        <v/>
      </c>
      <c r="P181" s="9" t="str">
        <f>IF(E181&lt;30,"&lt;30",IF(E181&lt;40,"30-39","40+"))</f>
        <v>&lt;30</v>
      </c>
    </row>
    <row r="182" spans="1:16" x14ac:dyDescent="0.25">
      <c r="A182" s="9" t="s">
        <v>534</v>
      </c>
      <c r="B182" s="9" t="s">
        <v>58</v>
      </c>
      <c r="C182" s="9" t="s">
        <v>121</v>
      </c>
      <c r="D182" s="9" t="s">
        <v>110</v>
      </c>
      <c r="E182" s="9">
        <v>37</v>
      </c>
      <c r="F182" s="20">
        <v>43402</v>
      </c>
      <c r="G182" s="20"/>
      <c r="H182" s="9" t="s">
        <v>51</v>
      </c>
      <c r="I182" s="21">
        <v>54600</v>
      </c>
      <c r="J182" s="9">
        <v>3</v>
      </c>
      <c r="K182" s="9">
        <v>3</v>
      </c>
      <c r="L182" s="9" t="s">
        <v>71</v>
      </c>
      <c r="M182" s="9"/>
      <c r="N182" s="9">
        <f>ROUND((IF(G182="",Analysis!$B$2,G182)-F182)/365.25,1)</f>
        <v>8</v>
      </c>
      <c r="O182" s="9" t="str">
        <f>IF(G182="","",YEAR(G182))</f>
        <v/>
      </c>
      <c r="P182" s="9" t="str">
        <f>IF(E182&lt;30,"&lt;30",IF(E182&lt;40,"30-39","40+"))</f>
        <v>30-39</v>
      </c>
    </row>
    <row r="183" spans="1:16" x14ac:dyDescent="0.25">
      <c r="A183" s="9" t="s">
        <v>435</v>
      </c>
      <c r="B183" s="9" t="s">
        <v>58</v>
      </c>
      <c r="C183" s="9" t="s">
        <v>121</v>
      </c>
      <c r="D183" s="9" t="s">
        <v>110</v>
      </c>
      <c r="E183" s="9">
        <v>45</v>
      </c>
      <c r="F183" s="20">
        <v>46252</v>
      </c>
      <c r="G183" s="20"/>
      <c r="H183" s="9" t="s">
        <v>51</v>
      </c>
      <c r="I183" s="21">
        <v>55000</v>
      </c>
      <c r="J183" s="9">
        <v>3</v>
      </c>
      <c r="K183" s="9">
        <v>3</v>
      </c>
      <c r="L183" s="9" t="s">
        <v>70</v>
      </c>
      <c r="M183" s="9"/>
      <c r="N183" s="9">
        <f>ROUND((IF(G183="",Analysis!$B$2,G183)-F183)/365.25,1)</f>
        <v>0.2</v>
      </c>
      <c r="O183" s="9" t="str">
        <f>IF(G183="","",YEAR(G183))</f>
        <v/>
      </c>
      <c r="P183" s="9" t="str">
        <f>IF(E183&lt;30,"&lt;30",IF(E183&lt;40,"30-39","40+"))</f>
        <v>40+</v>
      </c>
    </row>
    <row r="184" spans="1:16" x14ac:dyDescent="0.25">
      <c r="A184" s="9" t="s">
        <v>480</v>
      </c>
      <c r="B184" s="9" t="s">
        <v>58</v>
      </c>
      <c r="C184" s="9" t="s">
        <v>121</v>
      </c>
      <c r="D184" s="9" t="s">
        <v>110</v>
      </c>
      <c r="E184" s="9">
        <v>28</v>
      </c>
      <c r="F184" s="20">
        <v>44958</v>
      </c>
      <c r="G184" s="20"/>
      <c r="H184" s="9" t="s">
        <v>51</v>
      </c>
      <c r="I184" s="21">
        <v>55100</v>
      </c>
      <c r="J184" s="9">
        <v>3</v>
      </c>
      <c r="K184" s="9">
        <v>1</v>
      </c>
      <c r="L184" s="9" t="s">
        <v>70</v>
      </c>
      <c r="M184" s="9"/>
      <c r="N184" s="9">
        <f>ROUND((IF(G184="",Analysis!$B$2,G184)-F184)/365.25,1)</f>
        <v>3.7</v>
      </c>
      <c r="O184" s="9" t="str">
        <f>IF(G184="","",YEAR(G184))</f>
        <v/>
      </c>
      <c r="P184" s="9" t="str">
        <f>IF(E184&lt;30,"&lt;30",IF(E184&lt;40,"30-39","40+"))</f>
        <v>&lt;30</v>
      </c>
    </row>
    <row r="185" spans="1:16" x14ac:dyDescent="0.25">
      <c r="A185" s="9" t="s">
        <v>330</v>
      </c>
      <c r="B185" s="9" t="s">
        <v>62</v>
      </c>
      <c r="C185" s="9" t="s">
        <v>116</v>
      </c>
      <c r="D185" s="9" t="s">
        <v>110</v>
      </c>
      <c r="E185" s="9">
        <v>25</v>
      </c>
      <c r="F185" s="20">
        <v>45117</v>
      </c>
      <c r="G185" s="20"/>
      <c r="H185" s="9" t="s">
        <v>51</v>
      </c>
      <c r="I185" s="21">
        <v>55200</v>
      </c>
      <c r="J185" s="9">
        <v>3</v>
      </c>
      <c r="K185" s="9">
        <v>5</v>
      </c>
      <c r="L185" s="9" t="s">
        <v>71</v>
      </c>
      <c r="M185" s="9"/>
      <c r="N185" s="9">
        <f>ROUND((IF(G185="",Analysis!$B$2,G185)-F185)/365.25,1)</f>
        <v>3.3</v>
      </c>
      <c r="O185" s="9" t="str">
        <f>IF(G185="","",YEAR(G185))</f>
        <v/>
      </c>
      <c r="P185" s="9" t="str">
        <f>IF(E185&lt;30,"&lt;30",IF(E185&lt;40,"30-39","40+"))</f>
        <v>&lt;30</v>
      </c>
    </row>
    <row r="186" spans="1:16" x14ac:dyDescent="0.25">
      <c r="A186" s="9" t="s">
        <v>356</v>
      </c>
      <c r="B186" s="9" t="s">
        <v>63</v>
      </c>
      <c r="C186" s="9" t="s">
        <v>125</v>
      </c>
      <c r="D186" s="9" t="s">
        <v>110</v>
      </c>
      <c r="E186" s="9">
        <v>39</v>
      </c>
      <c r="F186" s="20">
        <v>44850</v>
      </c>
      <c r="G186" s="20"/>
      <c r="H186" s="9" t="s">
        <v>51</v>
      </c>
      <c r="I186" s="21">
        <v>55400</v>
      </c>
      <c r="J186" s="9">
        <v>3</v>
      </c>
      <c r="K186" s="9">
        <v>3</v>
      </c>
      <c r="L186" s="9" t="s">
        <v>71</v>
      </c>
      <c r="M186" s="9"/>
      <c r="N186" s="9">
        <f>ROUND((IF(G186="",Analysis!$B$2,G186)-F186)/365.25,1)</f>
        <v>4</v>
      </c>
      <c r="O186" s="9" t="str">
        <f>IF(G186="","",YEAR(G186))</f>
        <v/>
      </c>
      <c r="P186" s="9" t="str">
        <f>IF(E186&lt;30,"&lt;30",IF(E186&lt;40,"30-39","40+"))</f>
        <v>30-39</v>
      </c>
    </row>
    <row r="187" spans="1:16" x14ac:dyDescent="0.25">
      <c r="A187" s="9" t="s">
        <v>111</v>
      </c>
      <c r="B187" s="9" t="s">
        <v>57</v>
      </c>
      <c r="C187" s="9" t="s">
        <v>112</v>
      </c>
      <c r="D187" s="9" t="s">
        <v>110</v>
      </c>
      <c r="E187" s="9">
        <v>25</v>
      </c>
      <c r="F187" s="20">
        <v>45472</v>
      </c>
      <c r="G187" s="20"/>
      <c r="H187" s="9" t="s">
        <v>51</v>
      </c>
      <c r="I187" s="21">
        <v>56000</v>
      </c>
      <c r="J187" s="9">
        <v>3</v>
      </c>
      <c r="K187" s="9">
        <v>4</v>
      </c>
      <c r="L187" s="9" t="s">
        <v>71</v>
      </c>
      <c r="M187" s="9"/>
      <c r="N187" s="9">
        <f>ROUND((IF(G187="",Analysis!$B$2,G187)-F187)/365.25,1)</f>
        <v>2.2999999999999998</v>
      </c>
      <c r="O187" s="9" t="str">
        <f>IF(G187="","",YEAR(G187))</f>
        <v/>
      </c>
      <c r="P187" s="9" t="str">
        <f>IF(E187&lt;30,"&lt;30",IF(E187&lt;40,"30-39","40+"))</f>
        <v>&lt;30</v>
      </c>
    </row>
    <row r="188" spans="1:16" x14ac:dyDescent="0.25">
      <c r="A188" s="9" t="s">
        <v>201</v>
      </c>
      <c r="B188" s="9" t="s">
        <v>61</v>
      </c>
      <c r="C188" s="9" t="s">
        <v>123</v>
      </c>
      <c r="D188" s="9" t="s">
        <v>110</v>
      </c>
      <c r="E188" s="9">
        <v>25</v>
      </c>
      <c r="F188" s="20">
        <v>45131</v>
      </c>
      <c r="G188" s="20">
        <v>46259</v>
      </c>
      <c r="H188" s="9" t="s">
        <v>103</v>
      </c>
      <c r="I188" s="21">
        <v>56000</v>
      </c>
      <c r="J188" s="9">
        <v>3</v>
      </c>
      <c r="K188" s="9">
        <v>1</v>
      </c>
      <c r="L188" s="9" t="s">
        <v>71</v>
      </c>
      <c r="M188" s="9" t="s">
        <v>79</v>
      </c>
      <c r="N188" s="9">
        <f>ROUND((IF(G188="",Analysis!$B$2,G188)-F188)/365.25,1)</f>
        <v>3.1</v>
      </c>
      <c r="O188" s="9">
        <f>IF(G188="","",YEAR(G188))</f>
        <v>2026</v>
      </c>
      <c r="P188" s="9" t="str">
        <f>IF(E188&lt;30,"&lt;30",IF(E188&lt;40,"30-39","40+"))</f>
        <v>&lt;30</v>
      </c>
    </row>
    <row r="189" spans="1:16" x14ac:dyDescent="0.25">
      <c r="A189" s="9" t="s">
        <v>655</v>
      </c>
      <c r="B189" s="9" t="s">
        <v>58</v>
      </c>
      <c r="C189" s="9" t="s">
        <v>101</v>
      </c>
      <c r="D189" s="9" t="s">
        <v>110</v>
      </c>
      <c r="E189" s="9">
        <v>46</v>
      </c>
      <c r="F189" s="20">
        <v>45466</v>
      </c>
      <c r="G189" s="20"/>
      <c r="H189" s="9" t="s">
        <v>51</v>
      </c>
      <c r="I189" s="21">
        <v>56200</v>
      </c>
      <c r="J189" s="9">
        <v>3</v>
      </c>
      <c r="K189" s="9">
        <v>4</v>
      </c>
      <c r="L189" s="9" t="s">
        <v>71</v>
      </c>
      <c r="M189" s="9"/>
      <c r="N189" s="9">
        <f>ROUND((IF(G189="",Analysis!$B$2,G189)-F189)/365.25,1)</f>
        <v>2.2999999999999998</v>
      </c>
      <c r="O189" s="9" t="str">
        <f>IF(G189="","",YEAR(G189))</f>
        <v/>
      </c>
      <c r="P189" s="9" t="str">
        <f>IF(E189&lt;30,"&lt;30",IF(E189&lt;40,"30-39","40+"))</f>
        <v>40+</v>
      </c>
    </row>
    <row r="190" spans="1:16" x14ac:dyDescent="0.25">
      <c r="A190" s="9" t="s">
        <v>603</v>
      </c>
      <c r="B190" s="9" t="s">
        <v>58</v>
      </c>
      <c r="C190" s="9" t="s">
        <v>121</v>
      </c>
      <c r="D190" s="9" t="s">
        <v>110</v>
      </c>
      <c r="E190" s="9">
        <v>41</v>
      </c>
      <c r="F190" s="20">
        <v>45264</v>
      </c>
      <c r="G190" s="20"/>
      <c r="H190" s="9" t="s">
        <v>51</v>
      </c>
      <c r="I190" s="21">
        <v>56400</v>
      </c>
      <c r="J190" s="9">
        <v>3</v>
      </c>
      <c r="K190" s="9">
        <v>1</v>
      </c>
      <c r="L190" s="9" t="s">
        <v>71</v>
      </c>
      <c r="M190" s="9"/>
      <c r="N190" s="9">
        <f>ROUND((IF(G190="",Analysis!$B$2,G190)-F190)/365.25,1)</f>
        <v>2.9</v>
      </c>
      <c r="O190" s="9" t="str">
        <f>IF(G190="","",YEAR(G190))</f>
        <v/>
      </c>
      <c r="P190" s="9" t="str">
        <f>IF(E190&lt;30,"&lt;30",IF(E190&lt;40,"30-39","40+"))</f>
        <v>40+</v>
      </c>
    </row>
    <row r="191" spans="1:16" x14ac:dyDescent="0.25">
      <c r="A191" s="9" t="s">
        <v>383</v>
      </c>
      <c r="B191" s="9" t="s">
        <v>63</v>
      </c>
      <c r="C191" s="9" t="s">
        <v>125</v>
      </c>
      <c r="D191" s="9" t="s">
        <v>110</v>
      </c>
      <c r="E191" s="9">
        <v>21</v>
      </c>
      <c r="F191" s="20">
        <v>45277</v>
      </c>
      <c r="G191" s="20"/>
      <c r="H191" s="9" t="s">
        <v>51</v>
      </c>
      <c r="I191" s="21">
        <v>56600</v>
      </c>
      <c r="J191" s="9">
        <v>3</v>
      </c>
      <c r="K191" s="9">
        <v>4</v>
      </c>
      <c r="L191" s="9" t="s">
        <v>70</v>
      </c>
      <c r="M191" s="9"/>
      <c r="N191" s="9">
        <f>ROUND((IF(G191="",Analysis!$B$2,G191)-F191)/365.25,1)</f>
        <v>2.9</v>
      </c>
      <c r="O191" s="9" t="str">
        <f>IF(G191="","",YEAR(G191))</f>
        <v/>
      </c>
      <c r="P191" s="9" t="str">
        <f>IF(E191&lt;30,"&lt;30",IF(E191&lt;40,"30-39","40+"))</f>
        <v>&lt;30</v>
      </c>
    </row>
    <row r="192" spans="1:16" x14ac:dyDescent="0.25">
      <c r="A192" s="9" t="s">
        <v>564</v>
      </c>
      <c r="B192" s="9" t="s">
        <v>60</v>
      </c>
      <c r="C192" s="9" t="s">
        <v>130</v>
      </c>
      <c r="D192" s="9" t="s">
        <v>110</v>
      </c>
      <c r="E192" s="9">
        <v>39</v>
      </c>
      <c r="F192" s="20">
        <v>43656</v>
      </c>
      <c r="G192" s="20"/>
      <c r="H192" s="9" t="s">
        <v>51</v>
      </c>
      <c r="I192" s="21">
        <v>57100</v>
      </c>
      <c r="J192" s="9">
        <v>3</v>
      </c>
      <c r="K192" s="9">
        <v>3</v>
      </c>
      <c r="L192" s="9" t="s">
        <v>71</v>
      </c>
      <c r="M192" s="9"/>
      <c r="N192" s="9">
        <f>ROUND((IF(G192="",Analysis!$B$2,G192)-F192)/365.25,1)</f>
        <v>7.3</v>
      </c>
      <c r="O192" s="9" t="str">
        <f>IF(G192="","",YEAR(G192))</f>
        <v/>
      </c>
      <c r="P192" s="9" t="str">
        <f>IF(E192&lt;30,"&lt;30",IF(E192&lt;40,"30-39","40+"))</f>
        <v>30-39</v>
      </c>
    </row>
    <row r="193" spans="1:16" x14ac:dyDescent="0.25">
      <c r="A193" s="9" t="s">
        <v>545</v>
      </c>
      <c r="B193" s="9" t="s">
        <v>62</v>
      </c>
      <c r="C193" s="9" t="s">
        <v>116</v>
      </c>
      <c r="D193" s="9" t="s">
        <v>193</v>
      </c>
      <c r="E193" s="9">
        <v>33</v>
      </c>
      <c r="F193" s="20">
        <v>43330</v>
      </c>
      <c r="G193" s="20"/>
      <c r="H193" s="9" t="s">
        <v>51</v>
      </c>
      <c r="I193" s="21">
        <v>57200</v>
      </c>
      <c r="J193" s="9">
        <v>3</v>
      </c>
      <c r="K193" s="9">
        <v>5</v>
      </c>
      <c r="L193" s="9" t="s">
        <v>70</v>
      </c>
      <c r="M193" s="9"/>
      <c r="N193" s="9">
        <f>ROUND((IF(G193="",Analysis!$B$2,G193)-F193)/365.25,1)</f>
        <v>8.1999999999999993</v>
      </c>
      <c r="O193" s="9" t="str">
        <f>IF(G193="","",YEAR(G193))</f>
        <v/>
      </c>
      <c r="P193" s="9" t="str">
        <f>IF(E193&lt;30,"&lt;30",IF(E193&lt;40,"30-39","40+"))</f>
        <v>30-39</v>
      </c>
    </row>
    <row r="194" spans="1:16" x14ac:dyDescent="0.25">
      <c r="A194" s="9" t="s">
        <v>625</v>
      </c>
      <c r="B194" s="9" t="s">
        <v>58</v>
      </c>
      <c r="C194" s="9" t="s">
        <v>101</v>
      </c>
      <c r="D194" s="9" t="s">
        <v>102</v>
      </c>
      <c r="E194" s="9">
        <v>47</v>
      </c>
      <c r="F194" s="20">
        <v>44289</v>
      </c>
      <c r="G194" s="20"/>
      <c r="H194" s="9" t="s">
        <v>51</v>
      </c>
      <c r="I194" s="21">
        <v>57200</v>
      </c>
      <c r="J194" s="9">
        <v>3</v>
      </c>
      <c r="K194" s="9">
        <v>5</v>
      </c>
      <c r="L194" s="9" t="s">
        <v>71</v>
      </c>
      <c r="M194" s="9"/>
      <c r="N194" s="9">
        <f>ROUND((IF(G194="",Analysis!$B$2,G194)-F194)/365.25,1)</f>
        <v>5.6</v>
      </c>
      <c r="O194" s="9" t="str">
        <f>IF(G194="","",YEAR(G194))</f>
        <v/>
      </c>
      <c r="P194" s="9" t="str">
        <f>IF(E194&lt;30,"&lt;30",IF(E194&lt;40,"30-39","40+"))</f>
        <v>40+</v>
      </c>
    </row>
    <row r="195" spans="1:16" x14ac:dyDescent="0.25">
      <c r="A195" s="9" t="s">
        <v>668</v>
      </c>
      <c r="B195" s="9" t="s">
        <v>57</v>
      </c>
      <c r="C195" s="9" t="s">
        <v>112</v>
      </c>
      <c r="D195" s="9" t="s">
        <v>102</v>
      </c>
      <c r="E195" s="9">
        <v>32</v>
      </c>
      <c r="F195" s="20">
        <v>45845</v>
      </c>
      <c r="G195" s="20"/>
      <c r="H195" s="9" t="s">
        <v>51</v>
      </c>
      <c r="I195" s="21">
        <v>57800</v>
      </c>
      <c r="J195" s="9">
        <v>3</v>
      </c>
      <c r="K195" s="9">
        <v>2</v>
      </c>
      <c r="L195" s="9" t="s">
        <v>70</v>
      </c>
      <c r="M195" s="9"/>
      <c r="N195" s="9">
        <f>ROUND((IF(G195="",Analysis!$B$2,G195)-F195)/365.25,1)</f>
        <v>1.3</v>
      </c>
      <c r="O195" s="9" t="str">
        <f>IF(G195="","",YEAR(G195))</f>
        <v/>
      </c>
      <c r="P195" s="9" t="str">
        <f>IF(E195&lt;30,"&lt;30",IF(E195&lt;40,"30-39","40+"))</f>
        <v>30-39</v>
      </c>
    </row>
    <row r="196" spans="1:16" x14ac:dyDescent="0.25">
      <c r="A196" s="9" t="s">
        <v>515</v>
      </c>
      <c r="B196" s="9" t="s">
        <v>62</v>
      </c>
      <c r="C196" s="9" t="s">
        <v>150</v>
      </c>
      <c r="D196" s="9" t="s">
        <v>102</v>
      </c>
      <c r="E196" s="9">
        <v>25</v>
      </c>
      <c r="F196" s="20">
        <v>44973</v>
      </c>
      <c r="G196" s="20"/>
      <c r="H196" s="9" t="s">
        <v>51</v>
      </c>
      <c r="I196" s="21">
        <v>58000</v>
      </c>
      <c r="J196" s="9">
        <v>3</v>
      </c>
      <c r="K196" s="9">
        <v>4</v>
      </c>
      <c r="L196" s="9" t="s">
        <v>71</v>
      </c>
      <c r="M196" s="9"/>
      <c r="N196" s="9">
        <f>ROUND((IF(G196="",Analysis!$B$2,G196)-F196)/365.25,1)</f>
        <v>3.7</v>
      </c>
      <c r="O196" s="9" t="str">
        <f>IF(G196="","",YEAR(G196))</f>
        <v/>
      </c>
      <c r="P196" s="9" t="str">
        <f>IF(E196&lt;30,"&lt;30",IF(E196&lt;40,"30-39","40+"))</f>
        <v>&lt;30</v>
      </c>
    </row>
    <row r="197" spans="1:16" x14ac:dyDescent="0.25">
      <c r="A197" s="9" t="s">
        <v>664</v>
      </c>
      <c r="B197" s="9" t="s">
        <v>62</v>
      </c>
      <c r="C197" s="9" t="s">
        <v>150</v>
      </c>
      <c r="D197" s="9" t="s">
        <v>102</v>
      </c>
      <c r="E197" s="9">
        <v>26</v>
      </c>
      <c r="F197" s="20">
        <v>43649</v>
      </c>
      <c r="G197" s="20"/>
      <c r="H197" s="9" t="s">
        <v>51</v>
      </c>
      <c r="I197" s="21">
        <v>58100</v>
      </c>
      <c r="J197" s="9">
        <v>3</v>
      </c>
      <c r="K197" s="9">
        <v>3</v>
      </c>
      <c r="L197" s="9" t="s">
        <v>71</v>
      </c>
      <c r="M197" s="9"/>
      <c r="N197" s="9">
        <f>ROUND((IF(G197="",Analysis!$B$2,G197)-F197)/365.25,1)</f>
        <v>7.3</v>
      </c>
      <c r="O197" s="9" t="str">
        <f>IF(G197="","",YEAR(G197))</f>
        <v/>
      </c>
      <c r="P197" s="9" t="str">
        <f>IF(E197&lt;30,"&lt;30",IF(E197&lt;40,"30-39","40+"))</f>
        <v>&lt;30</v>
      </c>
    </row>
    <row r="198" spans="1:16" x14ac:dyDescent="0.25">
      <c r="A198" s="9" t="s">
        <v>391</v>
      </c>
      <c r="B198" s="9" t="s">
        <v>62</v>
      </c>
      <c r="C198" s="9" t="s">
        <v>116</v>
      </c>
      <c r="D198" s="9" t="s">
        <v>110</v>
      </c>
      <c r="E198" s="9">
        <v>21</v>
      </c>
      <c r="F198" s="20">
        <v>46251</v>
      </c>
      <c r="G198" s="20"/>
      <c r="H198" s="9" t="s">
        <v>51</v>
      </c>
      <c r="I198" s="21">
        <v>58300</v>
      </c>
      <c r="J198" s="9">
        <v>3</v>
      </c>
      <c r="K198" s="9">
        <v>5</v>
      </c>
      <c r="L198" s="9" t="s">
        <v>71</v>
      </c>
      <c r="M198" s="9"/>
      <c r="N198" s="9">
        <f>ROUND((IF(G198="",Analysis!$B$2,G198)-F198)/365.25,1)</f>
        <v>0.2</v>
      </c>
      <c r="O198" s="9" t="str">
        <f>IF(G198="","",YEAR(G198))</f>
        <v/>
      </c>
      <c r="P198" s="9" t="str">
        <f>IF(E198&lt;30,"&lt;30",IF(E198&lt;40,"30-39","40+"))</f>
        <v>&lt;30</v>
      </c>
    </row>
    <row r="199" spans="1:16" x14ac:dyDescent="0.25">
      <c r="A199" s="9" t="s">
        <v>316</v>
      </c>
      <c r="B199" s="9" t="s">
        <v>62</v>
      </c>
      <c r="C199" s="9" t="s">
        <v>150</v>
      </c>
      <c r="D199" s="9" t="s">
        <v>110</v>
      </c>
      <c r="E199" s="9">
        <v>25</v>
      </c>
      <c r="F199" s="20">
        <v>45086</v>
      </c>
      <c r="G199" s="20"/>
      <c r="H199" s="9" t="s">
        <v>51</v>
      </c>
      <c r="I199" s="21">
        <v>58300</v>
      </c>
      <c r="J199" s="9">
        <v>3</v>
      </c>
      <c r="K199" s="9">
        <v>3</v>
      </c>
      <c r="L199" s="9" t="s">
        <v>71</v>
      </c>
      <c r="M199" s="9"/>
      <c r="N199" s="9">
        <f>ROUND((IF(G199="",Analysis!$B$2,G199)-F199)/365.25,1)</f>
        <v>3.4</v>
      </c>
      <c r="O199" s="9" t="str">
        <f>IF(G199="","",YEAR(G199))</f>
        <v/>
      </c>
      <c r="P199" s="9" t="str">
        <f>IF(E199&lt;30,"&lt;30",IF(E199&lt;40,"30-39","40+"))</f>
        <v>&lt;30</v>
      </c>
    </row>
    <row r="200" spans="1:16" x14ac:dyDescent="0.25">
      <c r="A200" s="9" t="s">
        <v>226</v>
      </c>
      <c r="B200" s="9" t="s">
        <v>57</v>
      </c>
      <c r="C200" s="9" t="s">
        <v>112</v>
      </c>
      <c r="D200" s="9" t="s">
        <v>110</v>
      </c>
      <c r="E200" s="9">
        <v>34</v>
      </c>
      <c r="F200" s="20">
        <v>43521</v>
      </c>
      <c r="G200" s="20"/>
      <c r="H200" s="9" t="s">
        <v>51</v>
      </c>
      <c r="I200" s="21">
        <v>58900</v>
      </c>
      <c r="J200" s="9">
        <v>3</v>
      </c>
      <c r="K200" s="9">
        <v>4</v>
      </c>
      <c r="L200" s="9" t="s">
        <v>71</v>
      </c>
      <c r="M200" s="9"/>
      <c r="N200" s="9">
        <f>ROUND((IF(G200="",Analysis!$B$2,G200)-F200)/365.25,1)</f>
        <v>7.7</v>
      </c>
      <c r="O200" s="9" t="str">
        <f>IF(G200="","",YEAR(G200))</f>
        <v/>
      </c>
      <c r="P200" s="9" t="str">
        <f>IF(E200&lt;30,"&lt;30",IF(E200&lt;40,"30-39","40+"))</f>
        <v>30-39</v>
      </c>
    </row>
    <row r="201" spans="1:16" x14ac:dyDescent="0.25">
      <c r="A201" s="9" t="s">
        <v>120</v>
      </c>
      <c r="B201" s="9" t="s">
        <v>58</v>
      </c>
      <c r="C201" s="9" t="s">
        <v>121</v>
      </c>
      <c r="D201" s="9" t="s">
        <v>110</v>
      </c>
      <c r="E201" s="9">
        <v>35</v>
      </c>
      <c r="F201" s="20">
        <v>46114</v>
      </c>
      <c r="G201" s="20"/>
      <c r="H201" s="9" t="s">
        <v>51</v>
      </c>
      <c r="I201" s="21">
        <v>59000</v>
      </c>
      <c r="J201" s="9">
        <v>3</v>
      </c>
      <c r="K201" s="9">
        <v>4</v>
      </c>
      <c r="L201" s="9" t="s">
        <v>71</v>
      </c>
      <c r="M201" s="9"/>
      <c r="N201" s="9">
        <f>ROUND((IF(G201="",Analysis!$B$2,G201)-F201)/365.25,1)</f>
        <v>0.6</v>
      </c>
      <c r="O201" s="9" t="str">
        <f>IF(G201="","",YEAR(G201))</f>
        <v/>
      </c>
      <c r="P201" s="9" t="str">
        <f>IF(E201&lt;30,"&lt;30",IF(E201&lt;40,"30-39","40+"))</f>
        <v>30-39</v>
      </c>
    </row>
    <row r="202" spans="1:16" x14ac:dyDescent="0.25">
      <c r="A202" s="9" t="s">
        <v>344</v>
      </c>
      <c r="B202" s="9" t="s">
        <v>57</v>
      </c>
      <c r="C202" s="9" t="s">
        <v>112</v>
      </c>
      <c r="D202" s="9" t="s">
        <v>102</v>
      </c>
      <c r="E202" s="9">
        <v>45</v>
      </c>
      <c r="F202" s="20">
        <v>44014</v>
      </c>
      <c r="G202" s="20">
        <v>46300</v>
      </c>
      <c r="H202" s="9" t="s">
        <v>103</v>
      </c>
      <c r="I202" s="21">
        <v>59100</v>
      </c>
      <c r="J202" s="9">
        <v>3</v>
      </c>
      <c r="K202" s="9">
        <v>2</v>
      </c>
      <c r="L202" s="9" t="s">
        <v>70</v>
      </c>
      <c r="M202" s="9" t="s">
        <v>80</v>
      </c>
      <c r="N202" s="9">
        <f>ROUND((IF(G202="",Analysis!$B$2,G202)-F202)/365.25,1)</f>
        <v>6.3</v>
      </c>
      <c r="O202" s="9">
        <f>IF(G202="","",YEAR(G202))</f>
        <v>2026</v>
      </c>
      <c r="P202" s="9" t="str">
        <f>IF(E202&lt;30,"&lt;30",IF(E202&lt;40,"30-39","40+"))</f>
        <v>40+</v>
      </c>
    </row>
    <row r="203" spans="1:16" x14ac:dyDescent="0.25">
      <c r="A203" s="9" t="s">
        <v>647</v>
      </c>
      <c r="B203" s="9" t="s">
        <v>57</v>
      </c>
      <c r="C203" s="9" t="s">
        <v>112</v>
      </c>
      <c r="D203" s="9" t="s">
        <v>110</v>
      </c>
      <c r="E203" s="9">
        <v>27</v>
      </c>
      <c r="F203" s="20">
        <v>44420</v>
      </c>
      <c r="G203" s="20"/>
      <c r="H203" s="9" t="s">
        <v>51</v>
      </c>
      <c r="I203" s="21">
        <v>59700</v>
      </c>
      <c r="J203" s="9">
        <v>3</v>
      </c>
      <c r="K203" s="9">
        <v>1</v>
      </c>
      <c r="L203" s="9" t="s">
        <v>71</v>
      </c>
      <c r="M203" s="9"/>
      <c r="N203" s="9">
        <f>ROUND((IF(G203="",Analysis!$B$2,G203)-F203)/365.25,1)</f>
        <v>5.2</v>
      </c>
      <c r="O203" s="9" t="str">
        <f>IF(G203="","",YEAR(G203))</f>
        <v/>
      </c>
      <c r="P203" s="9" t="str">
        <f>IF(E203&lt;30,"&lt;30",IF(E203&lt;40,"30-39","40+"))</f>
        <v>&lt;30</v>
      </c>
    </row>
    <row r="204" spans="1:16" x14ac:dyDescent="0.25">
      <c r="A204" s="9" t="s">
        <v>637</v>
      </c>
      <c r="B204" s="9" t="s">
        <v>63</v>
      </c>
      <c r="C204" s="9" t="s">
        <v>125</v>
      </c>
      <c r="D204" s="9" t="s">
        <v>110</v>
      </c>
      <c r="E204" s="9">
        <v>32</v>
      </c>
      <c r="F204" s="20">
        <v>43301</v>
      </c>
      <c r="G204" s="20"/>
      <c r="H204" s="9" t="s">
        <v>51</v>
      </c>
      <c r="I204" s="21">
        <v>59700</v>
      </c>
      <c r="J204" s="9">
        <v>3</v>
      </c>
      <c r="K204" s="9">
        <v>1</v>
      </c>
      <c r="L204" s="9" t="s">
        <v>70</v>
      </c>
      <c r="M204" s="9"/>
      <c r="N204" s="9">
        <f>ROUND((IF(G204="",Analysis!$B$2,G204)-F204)/365.25,1)</f>
        <v>8.3000000000000007</v>
      </c>
      <c r="O204" s="9" t="str">
        <f>IF(G204="","",YEAR(G204))</f>
        <v/>
      </c>
      <c r="P204" s="9" t="str">
        <f>IF(E204&lt;30,"&lt;30",IF(E204&lt;40,"30-39","40+"))</f>
        <v>30-39</v>
      </c>
    </row>
    <row r="205" spans="1:16" x14ac:dyDescent="0.25">
      <c r="A205" s="9" t="s">
        <v>254</v>
      </c>
      <c r="B205" s="9" t="s">
        <v>62</v>
      </c>
      <c r="C205" s="9" t="s">
        <v>116</v>
      </c>
      <c r="D205" s="9" t="s">
        <v>110</v>
      </c>
      <c r="E205" s="9">
        <v>29</v>
      </c>
      <c r="F205" s="20">
        <v>43616</v>
      </c>
      <c r="G205" s="20">
        <v>45253</v>
      </c>
      <c r="H205" s="9" t="s">
        <v>103</v>
      </c>
      <c r="I205" s="21">
        <v>59800</v>
      </c>
      <c r="J205" s="9">
        <v>3</v>
      </c>
      <c r="K205" s="9">
        <v>3</v>
      </c>
      <c r="L205" s="9" t="s">
        <v>71</v>
      </c>
      <c r="M205" s="9" t="s">
        <v>81</v>
      </c>
      <c r="N205" s="9">
        <f>ROUND((IF(G205="",Analysis!$B$2,G205)-F205)/365.25,1)</f>
        <v>4.5</v>
      </c>
      <c r="O205" s="9">
        <f>IF(G205="","",YEAR(G205))</f>
        <v>2023</v>
      </c>
      <c r="P205" s="9" t="str">
        <f>IF(E205&lt;30,"&lt;30",IF(E205&lt;40,"30-39","40+"))</f>
        <v>&lt;30</v>
      </c>
    </row>
    <row r="206" spans="1:16" x14ac:dyDescent="0.25">
      <c r="A206" s="9" t="s">
        <v>211</v>
      </c>
      <c r="B206" s="9" t="s">
        <v>58</v>
      </c>
      <c r="C206" s="9" t="s">
        <v>121</v>
      </c>
      <c r="D206" s="9" t="s">
        <v>102</v>
      </c>
      <c r="E206" s="9">
        <v>21</v>
      </c>
      <c r="F206" s="20">
        <v>43669</v>
      </c>
      <c r="G206" s="20"/>
      <c r="H206" s="9" t="s">
        <v>51</v>
      </c>
      <c r="I206" s="21">
        <v>59900</v>
      </c>
      <c r="J206" s="9">
        <v>3</v>
      </c>
      <c r="K206" s="9">
        <v>3</v>
      </c>
      <c r="L206" s="9" t="s">
        <v>70</v>
      </c>
      <c r="M206" s="9"/>
      <c r="N206" s="9">
        <f>ROUND((IF(G206="",Analysis!$B$2,G206)-F206)/365.25,1)</f>
        <v>7.3</v>
      </c>
      <c r="O206" s="9" t="str">
        <f>IF(G206="","",YEAR(G206))</f>
        <v/>
      </c>
      <c r="P206" s="9" t="str">
        <f>IF(E206&lt;30,"&lt;30",IF(E206&lt;40,"30-39","40+"))</f>
        <v>&lt;30</v>
      </c>
    </row>
    <row r="207" spans="1:16" x14ac:dyDescent="0.25">
      <c r="A207" s="9" t="s">
        <v>227</v>
      </c>
      <c r="B207" s="9" t="s">
        <v>61</v>
      </c>
      <c r="C207" s="9" t="s">
        <v>123</v>
      </c>
      <c r="D207" s="9" t="s">
        <v>110</v>
      </c>
      <c r="E207" s="9">
        <v>28</v>
      </c>
      <c r="F207" s="20">
        <v>43399</v>
      </c>
      <c r="G207" s="20"/>
      <c r="H207" s="9" t="s">
        <v>51</v>
      </c>
      <c r="I207" s="21">
        <v>59900</v>
      </c>
      <c r="J207" s="9">
        <v>3</v>
      </c>
      <c r="K207" s="9">
        <v>3</v>
      </c>
      <c r="L207" s="9" t="s">
        <v>71</v>
      </c>
      <c r="M207" s="9"/>
      <c r="N207" s="9">
        <f>ROUND((IF(G207="",Analysis!$B$2,G207)-F207)/365.25,1)</f>
        <v>8</v>
      </c>
      <c r="O207" s="9" t="str">
        <f>IF(G207="","",YEAR(G207))</f>
        <v/>
      </c>
      <c r="P207" s="9" t="str">
        <f>IF(E207&lt;30,"&lt;30",IF(E207&lt;40,"30-39","40+"))</f>
        <v>&lt;30</v>
      </c>
    </row>
    <row r="208" spans="1:16" x14ac:dyDescent="0.25">
      <c r="A208" s="9" t="s">
        <v>141</v>
      </c>
      <c r="B208" s="9" t="s">
        <v>63</v>
      </c>
      <c r="C208" s="9" t="s">
        <v>105</v>
      </c>
      <c r="D208" s="9" t="s">
        <v>110</v>
      </c>
      <c r="E208" s="9">
        <v>28</v>
      </c>
      <c r="F208" s="20">
        <v>44239</v>
      </c>
      <c r="G208" s="20">
        <v>44686</v>
      </c>
      <c r="H208" s="9" t="s">
        <v>103</v>
      </c>
      <c r="I208" s="21">
        <v>60000</v>
      </c>
      <c r="J208" s="9">
        <v>3</v>
      </c>
      <c r="K208" s="9">
        <v>4</v>
      </c>
      <c r="L208" s="9" t="s">
        <v>70</v>
      </c>
      <c r="M208" s="9" t="s">
        <v>83</v>
      </c>
      <c r="N208" s="9">
        <f>ROUND((IF(G208="",Analysis!$B$2,G208)-F208)/365.25,1)</f>
        <v>1.2</v>
      </c>
      <c r="O208" s="9">
        <f>IF(G208="","",YEAR(G208))</f>
        <v>2022</v>
      </c>
      <c r="P208" s="9" t="str">
        <f>IF(E208&lt;30,"&lt;30",IF(E208&lt;40,"30-39","40+"))</f>
        <v>&lt;30</v>
      </c>
    </row>
    <row r="209" spans="1:16" x14ac:dyDescent="0.25">
      <c r="A209" s="9" t="s">
        <v>403</v>
      </c>
      <c r="B209" s="9" t="s">
        <v>61</v>
      </c>
      <c r="C209" s="9" t="s">
        <v>123</v>
      </c>
      <c r="D209" s="9" t="s">
        <v>110</v>
      </c>
      <c r="E209" s="9">
        <v>21</v>
      </c>
      <c r="F209" s="20">
        <v>46263</v>
      </c>
      <c r="G209" s="20"/>
      <c r="H209" s="9" t="s">
        <v>51</v>
      </c>
      <c r="I209" s="21">
        <v>60100</v>
      </c>
      <c r="J209" s="9">
        <v>3</v>
      </c>
      <c r="K209" s="9">
        <v>3</v>
      </c>
      <c r="L209" s="9" t="s">
        <v>71</v>
      </c>
      <c r="M209" s="9"/>
      <c r="N209" s="9">
        <f>ROUND((IF(G209="",Analysis!$B$2,G209)-F209)/365.25,1)</f>
        <v>0.2</v>
      </c>
      <c r="O209" s="9" t="str">
        <f>IF(G209="","",YEAR(G209))</f>
        <v/>
      </c>
      <c r="P209" s="9" t="str">
        <f>IF(E209&lt;30,"&lt;30",IF(E209&lt;40,"30-39","40+"))</f>
        <v>&lt;30</v>
      </c>
    </row>
    <row r="210" spans="1:16" x14ac:dyDescent="0.25">
      <c r="A210" s="9" t="s">
        <v>472</v>
      </c>
      <c r="B210" s="9" t="s">
        <v>61</v>
      </c>
      <c r="C210" s="9" t="s">
        <v>123</v>
      </c>
      <c r="D210" s="9" t="s">
        <v>110</v>
      </c>
      <c r="E210" s="9">
        <v>27</v>
      </c>
      <c r="F210" s="20">
        <v>43369</v>
      </c>
      <c r="G210" s="20"/>
      <c r="H210" s="9" t="s">
        <v>51</v>
      </c>
      <c r="I210" s="21">
        <v>60200</v>
      </c>
      <c r="J210" s="9">
        <v>3</v>
      </c>
      <c r="K210" s="9">
        <v>4</v>
      </c>
      <c r="L210" s="9" t="s">
        <v>70</v>
      </c>
      <c r="M210" s="9"/>
      <c r="N210" s="9">
        <f>ROUND((IF(G210="",Analysis!$B$2,G210)-F210)/365.25,1)</f>
        <v>8.1</v>
      </c>
      <c r="O210" s="9" t="str">
        <f>IF(G210="","",YEAR(G210))</f>
        <v/>
      </c>
      <c r="P210" s="9" t="str">
        <f>IF(E210&lt;30,"&lt;30",IF(E210&lt;40,"30-39","40+"))</f>
        <v>&lt;30</v>
      </c>
    </row>
    <row r="211" spans="1:16" x14ac:dyDescent="0.25">
      <c r="A211" s="9" t="s">
        <v>262</v>
      </c>
      <c r="B211" s="9" t="s">
        <v>62</v>
      </c>
      <c r="C211" s="9" t="s">
        <v>116</v>
      </c>
      <c r="D211" s="9" t="s">
        <v>102</v>
      </c>
      <c r="E211" s="9">
        <v>34</v>
      </c>
      <c r="F211" s="20">
        <v>45113</v>
      </c>
      <c r="G211" s="20">
        <v>45755</v>
      </c>
      <c r="H211" s="9" t="s">
        <v>103</v>
      </c>
      <c r="I211" s="21">
        <v>60300</v>
      </c>
      <c r="J211" s="9">
        <v>3</v>
      </c>
      <c r="K211" s="9">
        <v>2</v>
      </c>
      <c r="L211" s="9" t="s">
        <v>71</v>
      </c>
      <c r="M211" s="9" t="s">
        <v>80</v>
      </c>
      <c r="N211" s="9">
        <f>ROUND((IF(G211="",Analysis!$B$2,G211)-F211)/365.25,1)</f>
        <v>1.8</v>
      </c>
      <c r="O211" s="9">
        <f>IF(G211="","",YEAR(G211))</f>
        <v>2025</v>
      </c>
      <c r="P211" s="9" t="str">
        <f>IF(E211&lt;30,"&lt;30",IF(E211&lt;40,"30-39","40+"))</f>
        <v>30-39</v>
      </c>
    </row>
    <row r="212" spans="1:16" x14ac:dyDescent="0.25">
      <c r="A212" s="9" t="s">
        <v>576</v>
      </c>
      <c r="B212" s="9" t="s">
        <v>62</v>
      </c>
      <c r="C212" s="9" t="s">
        <v>116</v>
      </c>
      <c r="D212" s="9" t="s">
        <v>110</v>
      </c>
      <c r="E212" s="9">
        <v>26</v>
      </c>
      <c r="F212" s="20">
        <v>44414</v>
      </c>
      <c r="G212" s="20"/>
      <c r="H212" s="9" t="s">
        <v>51</v>
      </c>
      <c r="I212" s="21">
        <v>60400</v>
      </c>
      <c r="J212" s="9">
        <v>3</v>
      </c>
      <c r="K212" s="9">
        <v>4</v>
      </c>
      <c r="L212" s="9" t="s">
        <v>71</v>
      </c>
      <c r="M212" s="9"/>
      <c r="N212" s="9">
        <f>ROUND((IF(G212="",Analysis!$B$2,G212)-F212)/365.25,1)</f>
        <v>5.2</v>
      </c>
      <c r="O212" s="9" t="str">
        <f>IF(G212="","",YEAR(G212))</f>
        <v/>
      </c>
      <c r="P212" s="9" t="str">
        <f>IF(E212&lt;30,"&lt;30",IF(E212&lt;40,"30-39","40+"))</f>
        <v>&lt;30</v>
      </c>
    </row>
    <row r="213" spans="1:16" x14ac:dyDescent="0.25">
      <c r="A213" s="9" t="s">
        <v>172</v>
      </c>
      <c r="B213" s="9" t="s">
        <v>63</v>
      </c>
      <c r="C213" s="9" t="s">
        <v>105</v>
      </c>
      <c r="D213" s="9" t="s">
        <v>110</v>
      </c>
      <c r="E213" s="9">
        <v>25</v>
      </c>
      <c r="F213" s="20">
        <v>45141</v>
      </c>
      <c r="G213" s="20">
        <v>46220</v>
      </c>
      <c r="H213" s="9" t="s">
        <v>103</v>
      </c>
      <c r="I213" s="21">
        <v>60500</v>
      </c>
      <c r="J213" s="9">
        <v>3</v>
      </c>
      <c r="K213" s="9">
        <v>2</v>
      </c>
      <c r="L213" s="9" t="s">
        <v>71</v>
      </c>
      <c r="M213" s="9" t="s">
        <v>81</v>
      </c>
      <c r="N213" s="9">
        <f>ROUND((IF(G213="",Analysis!$B$2,G213)-F213)/365.25,1)</f>
        <v>3</v>
      </c>
      <c r="O213" s="9">
        <f>IF(G213="","",YEAR(G213))</f>
        <v>2026</v>
      </c>
      <c r="P213" s="9" t="str">
        <f>IF(E213&lt;30,"&lt;30",IF(E213&lt;40,"30-39","40+"))</f>
        <v>&lt;30</v>
      </c>
    </row>
    <row r="214" spans="1:16" x14ac:dyDescent="0.25">
      <c r="A214" s="9" t="s">
        <v>536</v>
      </c>
      <c r="B214" s="9" t="s">
        <v>58</v>
      </c>
      <c r="C214" s="9" t="s">
        <v>121</v>
      </c>
      <c r="D214" s="9" t="s">
        <v>110</v>
      </c>
      <c r="E214" s="9">
        <v>24</v>
      </c>
      <c r="F214" s="20">
        <v>45385</v>
      </c>
      <c r="G214" s="20">
        <v>45514</v>
      </c>
      <c r="H214" s="9" t="s">
        <v>103</v>
      </c>
      <c r="I214" s="21">
        <v>60600</v>
      </c>
      <c r="J214" s="9">
        <v>3</v>
      </c>
      <c r="K214" s="9">
        <v>4</v>
      </c>
      <c r="L214" s="9" t="s">
        <v>71</v>
      </c>
      <c r="M214" s="9" t="s">
        <v>80</v>
      </c>
      <c r="N214" s="9">
        <f>ROUND((IF(G214="",Analysis!$B$2,G214)-F214)/365.25,1)</f>
        <v>0.4</v>
      </c>
      <c r="O214" s="9">
        <f>IF(G214="","",YEAR(G214))</f>
        <v>2024</v>
      </c>
      <c r="P214" s="9" t="str">
        <f>IF(E214&lt;30,"&lt;30",IF(E214&lt;40,"30-39","40+"))</f>
        <v>&lt;30</v>
      </c>
    </row>
    <row r="215" spans="1:16" x14ac:dyDescent="0.25">
      <c r="A215" s="9" t="s">
        <v>492</v>
      </c>
      <c r="B215" s="9" t="s">
        <v>62</v>
      </c>
      <c r="C215" s="9" t="s">
        <v>116</v>
      </c>
      <c r="D215" s="9" t="s">
        <v>110</v>
      </c>
      <c r="E215" s="9">
        <v>28</v>
      </c>
      <c r="F215" s="20">
        <v>46010</v>
      </c>
      <c r="G215" s="20"/>
      <c r="H215" s="9" t="s">
        <v>51</v>
      </c>
      <c r="I215" s="21">
        <v>60700</v>
      </c>
      <c r="J215" s="9">
        <v>3</v>
      </c>
      <c r="K215" s="9">
        <v>4</v>
      </c>
      <c r="L215" s="9" t="s">
        <v>70</v>
      </c>
      <c r="M215" s="9"/>
      <c r="N215" s="9">
        <f>ROUND((IF(G215="",Analysis!$B$2,G215)-F215)/365.25,1)</f>
        <v>0.9</v>
      </c>
      <c r="O215" s="9" t="str">
        <f>IF(G215="","",YEAR(G215))</f>
        <v/>
      </c>
      <c r="P215" s="9" t="str">
        <f>IF(E215&lt;30,"&lt;30",IF(E215&lt;40,"30-39","40+"))</f>
        <v>&lt;30</v>
      </c>
    </row>
    <row r="216" spans="1:16" x14ac:dyDescent="0.25">
      <c r="A216" s="9" t="s">
        <v>287</v>
      </c>
      <c r="B216" s="9" t="s">
        <v>60</v>
      </c>
      <c r="C216" s="9" t="s">
        <v>191</v>
      </c>
      <c r="D216" s="9" t="s">
        <v>110</v>
      </c>
      <c r="E216" s="9">
        <v>34</v>
      </c>
      <c r="F216" s="20">
        <v>45986</v>
      </c>
      <c r="G216" s="20">
        <v>46128</v>
      </c>
      <c r="H216" s="9" t="s">
        <v>103</v>
      </c>
      <c r="I216" s="21">
        <v>61100</v>
      </c>
      <c r="J216" s="9">
        <v>3</v>
      </c>
      <c r="K216" s="9">
        <v>5</v>
      </c>
      <c r="L216" s="9" t="s">
        <v>70</v>
      </c>
      <c r="M216" s="9" t="s">
        <v>80</v>
      </c>
      <c r="N216" s="9">
        <f>ROUND((IF(G216="",Analysis!$B$2,G216)-F216)/365.25,1)</f>
        <v>0.4</v>
      </c>
      <c r="O216" s="9">
        <f>IF(G216="","",YEAR(G216))</f>
        <v>2026</v>
      </c>
      <c r="P216" s="9" t="str">
        <f>IF(E216&lt;30,"&lt;30",IF(E216&lt;40,"30-39","40+"))</f>
        <v>30-39</v>
      </c>
    </row>
    <row r="217" spans="1:16" x14ac:dyDescent="0.25">
      <c r="A217" s="9" t="s">
        <v>324</v>
      </c>
      <c r="B217" s="9" t="s">
        <v>62</v>
      </c>
      <c r="C217" s="9" t="s">
        <v>116</v>
      </c>
      <c r="D217" s="9" t="s">
        <v>110</v>
      </c>
      <c r="E217" s="9">
        <v>36</v>
      </c>
      <c r="F217" s="20">
        <v>44066</v>
      </c>
      <c r="G217" s="20"/>
      <c r="H217" s="9" t="s">
        <v>51</v>
      </c>
      <c r="I217" s="21">
        <v>61100</v>
      </c>
      <c r="J217" s="9">
        <v>3</v>
      </c>
      <c r="K217" s="9">
        <v>5</v>
      </c>
      <c r="L217" s="9" t="s">
        <v>71</v>
      </c>
      <c r="M217" s="9"/>
      <c r="N217" s="9">
        <f>ROUND((IF(G217="",Analysis!$B$2,G217)-F217)/365.25,1)</f>
        <v>6.2</v>
      </c>
      <c r="O217" s="9" t="str">
        <f>IF(G217="","",YEAR(G217))</f>
        <v/>
      </c>
      <c r="P217" s="9" t="str">
        <f>IF(E217&lt;30,"&lt;30",IF(E217&lt;40,"30-39","40+"))</f>
        <v>30-39</v>
      </c>
    </row>
    <row r="218" spans="1:16" x14ac:dyDescent="0.25">
      <c r="A218" s="9" t="s">
        <v>613</v>
      </c>
      <c r="B218" s="9" t="s">
        <v>58</v>
      </c>
      <c r="C218" s="9" t="s">
        <v>121</v>
      </c>
      <c r="D218" s="9" t="s">
        <v>110</v>
      </c>
      <c r="E218" s="9">
        <v>32</v>
      </c>
      <c r="F218" s="20">
        <v>44331</v>
      </c>
      <c r="G218" s="20"/>
      <c r="H218" s="9" t="s">
        <v>51</v>
      </c>
      <c r="I218" s="21">
        <v>61200</v>
      </c>
      <c r="J218" s="9">
        <v>3</v>
      </c>
      <c r="K218" s="9">
        <v>4</v>
      </c>
      <c r="L218" s="9" t="s">
        <v>70</v>
      </c>
      <c r="M218" s="9"/>
      <c r="N218" s="9">
        <f>ROUND((IF(G218="",Analysis!$B$2,G218)-F218)/365.25,1)</f>
        <v>5.5</v>
      </c>
      <c r="O218" s="9" t="str">
        <f>IF(G218="","",YEAR(G218))</f>
        <v/>
      </c>
      <c r="P218" s="9" t="str">
        <f>IF(E218&lt;30,"&lt;30",IF(E218&lt;40,"30-39","40+"))</f>
        <v>30-39</v>
      </c>
    </row>
    <row r="219" spans="1:16" x14ac:dyDescent="0.25">
      <c r="A219" s="9" t="s">
        <v>630</v>
      </c>
      <c r="B219" s="9" t="s">
        <v>63</v>
      </c>
      <c r="C219" s="9" t="s">
        <v>105</v>
      </c>
      <c r="D219" s="9" t="s">
        <v>110</v>
      </c>
      <c r="E219" s="9">
        <v>30</v>
      </c>
      <c r="F219" s="20">
        <v>44433</v>
      </c>
      <c r="G219" s="20"/>
      <c r="H219" s="9" t="s">
        <v>51</v>
      </c>
      <c r="I219" s="21">
        <v>61400</v>
      </c>
      <c r="J219" s="9">
        <v>3</v>
      </c>
      <c r="K219" s="9">
        <v>4</v>
      </c>
      <c r="L219" s="9" t="s">
        <v>71</v>
      </c>
      <c r="M219" s="9"/>
      <c r="N219" s="9">
        <f>ROUND((IF(G219="",Analysis!$B$2,G219)-F219)/365.25,1)</f>
        <v>5.2</v>
      </c>
      <c r="O219" s="9" t="str">
        <f>IF(G219="","",YEAR(G219))</f>
        <v/>
      </c>
      <c r="P219" s="9" t="str">
        <f>IF(E219&lt;30,"&lt;30",IF(E219&lt;40,"30-39","40+"))</f>
        <v>30-39</v>
      </c>
    </row>
    <row r="220" spans="1:16" x14ac:dyDescent="0.25">
      <c r="A220" s="9" t="s">
        <v>343</v>
      </c>
      <c r="B220" s="9" t="s">
        <v>58</v>
      </c>
      <c r="C220" s="9" t="s">
        <v>121</v>
      </c>
      <c r="D220" s="9" t="s">
        <v>102</v>
      </c>
      <c r="E220" s="9">
        <v>21</v>
      </c>
      <c r="F220" s="20">
        <v>45861</v>
      </c>
      <c r="G220" s="20">
        <v>46213</v>
      </c>
      <c r="H220" s="9" t="s">
        <v>103</v>
      </c>
      <c r="I220" s="21">
        <v>61500</v>
      </c>
      <c r="J220" s="9">
        <v>3</v>
      </c>
      <c r="K220" s="9">
        <v>3</v>
      </c>
      <c r="L220" s="9" t="s">
        <v>70</v>
      </c>
      <c r="M220" s="9" t="s">
        <v>79</v>
      </c>
      <c r="N220" s="9">
        <f>ROUND((IF(G220="",Analysis!$B$2,G220)-F220)/365.25,1)</f>
        <v>1</v>
      </c>
      <c r="O220" s="9">
        <f>IF(G220="","",YEAR(G220))</f>
        <v>2026</v>
      </c>
      <c r="P220" s="9" t="str">
        <f>IF(E220&lt;30,"&lt;30",IF(E220&lt;40,"30-39","40+"))</f>
        <v>&lt;30</v>
      </c>
    </row>
    <row r="221" spans="1:16" x14ac:dyDescent="0.25">
      <c r="A221" s="9" t="s">
        <v>170</v>
      </c>
      <c r="B221" s="9" t="s">
        <v>62</v>
      </c>
      <c r="C221" s="9" t="s">
        <v>150</v>
      </c>
      <c r="D221" s="9" t="s">
        <v>110</v>
      </c>
      <c r="E221" s="9">
        <v>35</v>
      </c>
      <c r="F221" s="20">
        <v>46100</v>
      </c>
      <c r="G221" s="20"/>
      <c r="H221" s="9" t="s">
        <v>51</v>
      </c>
      <c r="I221" s="21">
        <v>61500</v>
      </c>
      <c r="J221" s="9">
        <v>3</v>
      </c>
      <c r="K221" s="9">
        <v>5</v>
      </c>
      <c r="L221" s="9" t="s">
        <v>71</v>
      </c>
      <c r="M221" s="9"/>
      <c r="N221" s="9">
        <f>ROUND((IF(G221="",Analysis!$B$2,G221)-F221)/365.25,1)</f>
        <v>0.6</v>
      </c>
      <c r="O221" s="9" t="str">
        <f>IF(G221="","",YEAR(G221))</f>
        <v/>
      </c>
      <c r="P221" s="9" t="str">
        <f>IF(E221&lt;30,"&lt;30",IF(E221&lt;40,"30-39","40+"))</f>
        <v>30-39</v>
      </c>
    </row>
    <row r="222" spans="1:16" x14ac:dyDescent="0.25">
      <c r="A222" s="9" t="s">
        <v>269</v>
      </c>
      <c r="B222" s="9" t="s">
        <v>58</v>
      </c>
      <c r="C222" s="9" t="s">
        <v>121</v>
      </c>
      <c r="D222" s="9" t="s">
        <v>102</v>
      </c>
      <c r="E222" s="9">
        <v>36</v>
      </c>
      <c r="F222" s="20">
        <v>43577</v>
      </c>
      <c r="G222" s="20">
        <v>44207</v>
      </c>
      <c r="H222" s="9" t="s">
        <v>103</v>
      </c>
      <c r="I222" s="21">
        <v>61600</v>
      </c>
      <c r="J222" s="9">
        <v>3</v>
      </c>
      <c r="K222" s="9">
        <v>4</v>
      </c>
      <c r="L222" s="9" t="s">
        <v>71</v>
      </c>
      <c r="M222" s="9" t="s">
        <v>83</v>
      </c>
      <c r="N222" s="9">
        <f>ROUND((IF(G222="",Analysis!$B$2,G222)-F222)/365.25,1)</f>
        <v>1.7</v>
      </c>
      <c r="O222" s="9">
        <f>IF(G222="","",YEAR(G222))</f>
        <v>2021</v>
      </c>
      <c r="P222" s="9" t="str">
        <f>IF(E222&lt;30,"&lt;30",IF(E222&lt;40,"30-39","40+"))</f>
        <v>30-39</v>
      </c>
    </row>
    <row r="223" spans="1:16" x14ac:dyDescent="0.25">
      <c r="A223" s="9" t="s">
        <v>542</v>
      </c>
      <c r="B223" s="9" t="s">
        <v>58</v>
      </c>
      <c r="C223" s="9" t="s">
        <v>121</v>
      </c>
      <c r="D223" s="9" t="s">
        <v>102</v>
      </c>
      <c r="E223" s="9">
        <v>41</v>
      </c>
      <c r="F223" s="20">
        <v>43920</v>
      </c>
      <c r="G223" s="20">
        <v>45319</v>
      </c>
      <c r="H223" s="9" t="s">
        <v>103</v>
      </c>
      <c r="I223" s="21">
        <v>61600</v>
      </c>
      <c r="J223" s="9">
        <v>3</v>
      </c>
      <c r="K223" s="9">
        <v>5</v>
      </c>
      <c r="L223" s="9" t="s">
        <v>70</v>
      </c>
      <c r="M223" s="9" t="s">
        <v>84</v>
      </c>
      <c r="N223" s="9">
        <f>ROUND((IF(G223="",Analysis!$B$2,G223)-F223)/365.25,1)</f>
        <v>3.8</v>
      </c>
      <c r="O223" s="9">
        <f>IF(G223="","",YEAR(G223))</f>
        <v>2024</v>
      </c>
      <c r="P223" s="9" t="str">
        <f>IF(E223&lt;30,"&lt;30",IF(E223&lt;40,"30-39","40+"))</f>
        <v>40+</v>
      </c>
    </row>
    <row r="224" spans="1:16" x14ac:dyDescent="0.25">
      <c r="A224" s="9" t="s">
        <v>305</v>
      </c>
      <c r="B224" s="9" t="s">
        <v>58</v>
      </c>
      <c r="C224" s="9" t="s">
        <v>121</v>
      </c>
      <c r="D224" s="9" t="s">
        <v>110</v>
      </c>
      <c r="E224" s="9">
        <v>33</v>
      </c>
      <c r="F224" s="20">
        <v>44286</v>
      </c>
      <c r="G224" s="20"/>
      <c r="H224" s="9" t="s">
        <v>51</v>
      </c>
      <c r="I224" s="21">
        <v>61900</v>
      </c>
      <c r="J224" s="9">
        <v>3</v>
      </c>
      <c r="K224" s="9">
        <v>1</v>
      </c>
      <c r="L224" s="9" t="s">
        <v>70</v>
      </c>
      <c r="M224" s="9"/>
      <c r="N224" s="9">
        <f>ROUND((IF(G224="",Analysis!$B$2,G224)-F224)/365.25,1)</f>
        <v>5.6</v>
      </c>
      <c r="O224" s="9" t="str">
        <f>IF(G224="","",YEAR(G224))</f>
        <v/>
      </c>
      <c r="P224" s="9" t="str">
        <f>IF(E224&lt;30,"&lt;30",IF(E224&lt;40,"30-39","40+"))</f>
        <v>30-39</v>
      </c>
    </row>
    <row r="225" spans="1:16" x14ac:dyDescent="0.25">
      <c r="A225" s="9" t="s">
        <v>652</v>
      </c>
      <c r="B225" s="9" t="s">
        <v>63</v>
      </c>
      <c r="C225" s="9" t="s">
        <v>125</v>
      </c>
      <c r="D225" s="9" t="s">
        <v>102</v>
      </c>
      <c r="E225" s="9">
        <v>33</v>
      </c>
      <c r="F225" s="20">
        <v>45625</v>
      </c>
      <c r="G225" s="20"/>
      <c r="H225" s="9" t="s">
        <v>51</v>
      </c>
      <c r="I225" s="21">
        <v>61900</v>
      </c>
      <c r="J225" s="9">
        <v>3</v>
      </c>
      <c r="K225" s="9">
        <v>3</v>
      </c>
      <c r="L225" s="9" t="s">
        <v>71</v>
      </c>
      <c r="M225" s="9"/>
      <c r="N225" s="9">
        <f>ROUND((IF(G225="",Analysis!$B$2,G225)-F225)/365.25,1)</f>
        <v>1.9</v>
      </c>
      <c r="O225" s="9" t="str">
        <f>IF(G225="","",YEAR(G225))</f>
        <v/>
      </c>
      <c r="P225" s="9" t="str">
        <f>IF(E225&lt;30,"&lt;30",IF(E225&lt;40,"30-39","40+"))</f>
        <v>30-39</v>
      </c>
    </row>
    <row r="226" spans="1:16" x14ac:dyDescent="0.25">
      <c r="A226" s="9" t="s">
        <v>594</v>
      </c>
      <c r="B226" s="9" t="s">
        <v>58</v>
      </c>
      <c r="C226" s="9" t="s">
        <v>121</v>
      </c>
      <c r="D226" s="9" t="s">
        <v>110</v>
      </c>
      <c r="E226" s="9">
        <v>21</v>
      </c>
      <c r="F226" s="20">
        <v>43982</v>
      </c>
      <c r="G226" s="20"/>
      <c r="H226" s="9" t="s">
        <v>51</v>
      </c>
      <c r="I226" s="21">
        <v>62100</v>
      </c>
      <c r="J226" s="9">
        <v>3</v>
      </c>
      <c r="K226" s="9">
        <v>1</v>
      </c>
      <c r="L226" s="9" t="s">
        <v>71</v>
      </c>
      <c r="M226" s="9"/>
      <c r="N226" s="9">
        <f>ROUND((IF(G226="",Analysis!$B$2,G226)-F226)/365.25,1)</f>
        <v>6.4</v>
      </c>
      <c r="O226" s="9" t="str">
        <f>IF(G226="","",YEAR(G226))</f>
        <v/>
      </c>
      <c r="P226" s="9" t="str">
        <f>IF(E226&lt;30,"&lt;30",IF(E226&lt;40,"30-39","40+"))</f>
        <v>&lt;30</v>
      </c>
    </row>
    <row r="227" spans="1:16" x14ac:dyDescent="0.25">
      <c r="A227" s="9" t="s">
        <v>573</v>
      </c>
      <c r="B227" s="9" t="s">
        <v>63</v>
      </c>
      <c r="C227" s="9" t="s">
        <v>105</v>
      </c>
      <c r="D227" s="9" t="s">
        <v>110</v>
      </c>
      <c r="E227" s="9">
        <v>28</v>
      </c>
      <c r="F227" s="20">
        <v>45349</v>
      </c>
      <c r="G227" s="20">
        <v>45470</v>
      </c>
      <c r="H227" s="9" t="s">
        <v>103</v>
      </c>
      <c r="I227" s="21">
        <v>62400</v>
      </c>
      <c r="J227" s="9">
        <v>3</v>
      </c>
      <c r="K227" s="9">
        <v>1</v>
      </c>
      <c r="L227" s="9" t="s">
        <v>71</v>
      </c>
      <c r="M227" s="9" t="s">
        <v>79</v>
      </c>
      <c r="N227" s="9">
        <f>ROUND((IF(G227="",Analysis!$B$2,G227)-F227)/365.25,1)</f>
        <v>0.3</v>
      </c>
      <c r="O227" s="9">
        <f>IF(G227="","",YEAR(G227))</f>
        <v>2024</v>
      </c>
      <c r="P227" s="9" t="str">
        <f>IF(E227&lt;30,"&lt;30",IF(E227&lt;40,"30-39","40+"))</f>
        <v>&lt;30</v>
      </c>
    </row>
    <row r="228" spans="1:16" x14ac:dyDescent="0.25">
      <c r="A228" s="9" t="s">
        <v>490</v>
      </c>
      <c r="B228" s="9" t="s">
        <v>59</v>
      </c>
      <c r="C228" s="9" t="s">
        <v>137</v>
      </c>
      <c r="D228" s="9" t="s">
        <v>102</v>
      </c>
      <c r="E228" s="9">
        <v>41</v>
      </c>
      <c r="F228" s="20">
        <v>44426</v>
      </c>
      <c r="G228" s="20"/>
      <c r="H228" s="9" t="s">
        <v>51</v>
      </c>
      <c r="I228" s="21">
        <v>62800</v>
      </c>
      <c r="J228" s="9">
        <v>3</v>
      </c>
      <c r="K228" s="9">
        <v>3</v>
      </c>
      <c r="L228" s="9" t="s">
        <v>71</v>
      </c>
      <c r="M228" s="9"/>
      <c r="N228" s="9">
        <f>ROUND((IF(G228="",Analysis!$B$2,G228)-F228)/365.25,1)</f>
        <v>5.2</v>
      </c>
      <c r="O228" s="9" t="str">
        <f>IF(G228="","",YEAR(G228))</f>
        <v/>
      </c>
      <c r="P228" s="9" t="str">
        <f>IF(E228&lt;30,"&lt;30",IF(E228&lt;40,"30-39","40+"))</f>
        <v>40+</v>
      </c>
    </row>
    <row r="229" spans="1:16" x14ac:dyDescent="0.25">
      <c r="A229" s="9" t="s">
        <v>523</v>
      </c>
      <c r="B229" s="9" t="s">
        <v>61</v>
      </c>
      <c r="C229" s="9" t="s">
        <v>123</v>
      </c>
      <c r="D229" s="9" t="s">
        <v>110</v>
      </c>
      <c r="E229" s="9">
        <v>38</v>
      </c>
      <c r="F229" s="20">
        <v>43951</v>
      </c>
      <c r="G229" s="20"/>
      <c r="H229" s="9" t="s">
        <v>51</v>
      </c>
      <c r="I229" s="21">
        <v>62900</v>
      </c>
      <c r="J229" s="9">
        <v>3</v>
      </c>
      <c r="K229" s="9">
        <v>3</v>
      </c>
      <c r="L229" s="9" t="s">
        <v>71</v>
      </c>
      <c r="M229" s="9"/>
      <c r="N229" s="9">
        <f>ROUND((IF(G229="",Analysis!$B$2,G229)-F229)/365.25,1)</f>
        <v>6.5</v>
      </c>
      <c r="O229" s="9" t="str">
        <f>IF(G229="","",YEAR(G229))</f>
        <v/>
      </c>
      <c r="P229" s="9" t="str">
        <f>IF(E229&lt;30,"&lt;30",IF(E229&lt;40,"30-39","40+"))</f>
        <v>30-39</v>
      </c>
    </row>
    <row r="230" spans="1:16" x14ac:dyDescent="0.25">
      <c r="A230" s="9" t="s">
        <v>320</v>
      </c>
      <c r="B230" s="9" t="s">
        <v>63</v>
      </c>
      <c r="C230" s="9" t="s">
        <v>105</v>
      </c>
      <c r="D230" s="9" t="s">
        <v>110</v>
      </c>
      <c r="E230" s="9">
        <v>23</v>
      </c>
      <c r="F230" s="20">
        <v>45661</v>
      </c>
      <c r="G230" s="20"/>
      <c r="H230" s="9" t="s">
        <v>51</v>
      </c>
      <c r="I230" s="21">
        <v>63100</v>
      </c>
      <c r="J230" s="9">
        <v>3</v>
      </c>
      <c r="K230" s="9">
        <v>3</v>
      </c>
      <c r="L230" s="9" t="s">
        <v>70</v>
      </c>
      <c r="M230" s="9"/>
      <c r="N230" s="9">
        <f>ROUND((IF(G230="",Analysis!$B$2,G230)-F230)/365.25,1)</f>
        <v>1.8</v>
      </c>
      <c r="O230" s="9" t="str">
        <f>IF(G230="","",YEAR(G230))</f>
        <v/>
      </c>
      <c r="P230" s="9" t="str">
        <f>IF(E230&lt;30,"&lt;30",IF(E230&lt;40,"30-39","40+"))</f>
        <v>&lt;30</v>
      </c>
    </row>
    <row r="231" spans="1:16" x14ac:dyDescent="0.25">
      <c r="A231" s="9" t="s">
        <v>239</v>
      </c>
      <c r="B231" s="9" t="s">
        <v>61</v>
      </c>
      <c r="C231" s="9" t="s">
        <v>123</v>
      </c>
      <c r="D231" s="9" t="s">
        <v>102</v>
      </c>
      <c r="E231" s="9">
        <v>36</v>
      </c>
      <c r="F231" s="20">
        <v>43869</v>
      </c>
      <c r="G231" s="20">
        <v>45656</v>
      </c>
      <c r="H231" s="9" t="s">
        <v>103</v>
      </c>
      <c r="I231" s="21">
        <v>63900</v>
      </c>
      <c r="J231" s="9">
        <v>3</v>
      </c>
      <c r="K231" s="9">
        <v>5</v>
      </c>
      <c r="L231" s="9" t="s">
        <v>70</v>
      </c>
      <c r="M231" s="9" t="s">
        <v>79</v>
      </c>
      <c r="N231" s="9">
        <f>ROUND((IF(G231="",Analysis!$B$2,G231)-F231)/365.25,1)</f>
        <v>4.9000000000000004</v>
      </c>
      <c r="O231" s="9">
        <f>IF(G231="","",YEAR(G231))</f>
        <v>2024</v>
      </c>
      <c r="P231" s="9" t="str">
        <f>IF(E231&lt;30,"&lt;30",IF(E231&lt;40,"30-39","40+"))</f>
        <v>30-39</v>
      </c>
    </row>
    <row r="232" spans="1:16" x14ac:dyDescent="0.25">
      <c r="A232" s="9" t="s">
        <v>522</v>
      </c>
      <c r="B232" s="9" t="s">
        <v>62</v>
      </c>
      <c r="C232" s="9" t="s">
        <v>116</v>
      </c>
      <c r="D232" s="9" t="s">
        <v>102</v>
      </c>
      <c r="E232" s="9">
        <v>22</v>
      </c>
      <c r="F232" s="20">
        <v>45593</v>
      </c>
      <c r="G232" s="20"/>
      <c r="H232" s="9" t="s">
        <v>51</v>
      </c>
      <c r="I232" s="21">
        <v>64100</v>
      </c>
      <c r="J232" s="9">
        <v>3</v>
      </c>
      <c r="K232" s="9">
        <v>3</v>
      </c>
      <c r="L232" s="9" t="s">
        <v>70</v>
      </c>
      <c r="M232" s="9"/>
      <c r="N232" s="9">
        <f>ROUND((IF(G232="",Analysis!$B$2,G232)-F232)/365.25,1)</f>
        <v>2</v>
      </c>
      <c r="O232" s="9" t="str">
        <f>IF(G232="","",YEAR(G232))</f>
        <v/>
      </c>
      <c r="P232" s="9" t="str">
        <f>IF(E232&lt;30,"&lt;30",IF(E232&lt;40,"30-39","40+"))</f>
        <v>&lt;30</v>
      </c>
    </row>
    <row r="233" spans="1:16" x14ac:dyDescent="0.25">
      <c r="A233" s="9" t="s">
        <v>342</v>
      </c>
      <c r="B233" s="9" t="s">
        <v>58</v>
      </c>
      <c r="C233" s="9" t="s">
        <v>121</v>
      </c>
      <c r="D233" s="9" t="s">
        <v>102</v>
      </c>
      <c r="E233" s="9">
        <v>32</v>
      </c>
      <c r="F233" s="20">
        <v>43928</v>
      </c>
      <c r="G233" s="20">
        <v>46193</v>
      </c>
      <c r="H233" s="9" t="s">
        <v>103</v>
      </c>
      <c r="I233" s="21">
        <v>64600</v>
      </c>
      <c r="J233" s="9">
        <v>3</v>
      </c>
      <c r="K233" s="9">
        <v>3</v>
      </c>
      <c r="L233" s="9" t="s">
        <v>71</v>
      </c>
      <c r="M233" s="9" t="s">
        <v>80</v>
      </c>
      <c r="N233" s="9">
        <f>ROUND((IF(G233="",Analysis!$B$2,G233)-F233)/365.25,1)</f>
        <v>6.2</v>
      </c>
      <c r="O233" s="9">
        <f>IF(G233="","",YEAR(G233))</f>
        <v>2026</v>
      </c>
      <c r="P233" s="9" t="str">
        <f>IF(E233&lt;30,"&lt;30",IF(E233&lt;40,"30-39","40+"))</f>
        <v>30-39</v>
      </c>
    </row>
    <row r="234" spans="1:16" x14ac:dyDescent="0.25">
      <c r="A234" s="9" t="s">
        <v>348</v>
      </c>
      <c r="B234" s="9" t="s">
        <v>58</v>
      </c>
      <c r="C234" s="9" t="s">
        <v>121</v>
      </c>
      <c r="D234" s="9" t="s">
        <v>102</v>
      </c>
      <c r="E234" s="9">
        <v>30</v>
      </c>
      <c r="F234" s="20">
        <v>44641</v>
      </c>
      <c r="G234" s="20"/>
      <c r="H234" s="9" t="s">
        <v>51</v>
      </c>
      <c r="I234" s="21">
        <v>64800</v>
      </c>
      <c r="J234" s="9">
        <v>3</v>
      </c>
      <c r="K234" s="9">
        <v>3</v>
      </c>
      <c r="L234" s="9" t="s">
        <v>71</v>
      </c>
      <c r="M234" s="9"/>
      <c r="N234" s="9">
        <f>ROUND((IF(G234="",Analysis!$B$2,G234)-F234)/365.25,1)</f>
        <v>4.5999999999999996</v>
      </c>
      <c r="O234" s="9" t="str">
        <f>IF(G234="","",YEAR(G234))</f>
        <v/>
      </c>
      <c r="P234" s="9" t="str">
        <f>IF(E234&lt;30,"&lt;30",IF(E234&lt;40,"30-39","40+"))</f>
        <v>30-39</v>
      </c>
    </row>
    <row r="235" spans="1:16" x14ac:dyDescent="0.25">
      <c r="A235" s="9" t="s">
        <v>658</v>
      </c>
      <c r="B235" s="9" t="s">
        <v>62</v>
      </c>
      <c r="C235" s="9" t="s">
        <v>116</v>
      </c>
      <c r="D235" s="9" t="s">
        <v>110</v>
      </c>
      <c r="E235" s="9">
        <v>32</v>
      </c>
      <c r="F235" s="20">
        <v>43161</v>
      </c>
      <c r="G235" s="20"/>
      <c r="H235" s="9" t="s">
        <v>51</v>
      </c>
      <c r="I235" s="21">
        <v>64800</v>
      </c>
      <c r="J235" s="9">
        <v>3</v>
      </c>
      <c r="K235" s="9">
        <v>3</v>
      </c>
      <c r="L235" s="9" t="s">
        <v>71</v>
      </c>
      <c r="M235" s="9"/>
      <c r="N235" s="9">
        <f>ROUND((IF(G235="",Analysis!$B$2,G235)-F235)/365.25,1)</f>
        <v>8.6999999999999993</v>
      </c>
      <c r="O235" s="9" t="str">
        <f>IF(G235="","",YEAR(G235))</f>
        <v/>
      </c>
      <c r="P235" s="9" t="str">
        <f>IF(E235&lt;30,"&lt;30",IF(E235&lt;40,"30-39","40+"))</f>
        <v>30-39</v>
      </c>
    </row>
    <row r="236" spans="1:16" x14ac:dyDescent="0.25">
      <c r="A236" s="9" t="s">
        <v>606</v>
      </c>
      <c r="B236" s="9" t="s">
        <v>59</v>
      </c>
      <c r="C236" s="9" t="s">
        <v>137</v>
      </c>
      <c r="D236" s="9" t="s">
        <v>102</v>
      </c>
      <c r="E236" s="9">
        <v>32</v>
      </c>
      <c r="F236" s="20">
        <v>43328</v>
      </c>
      <c r="G236" s="20"/>
      <c r="H236" s="9" t="s">
        <v>51</v>
      </c>
      <c r="I236" s="21">
        <v>65100</v>
      </c>
      <c r="J236" s="9">
        <v>3</v>
      </c>
      <c r="K236" s="9">
        <v>4</v>
      </c>
      <c r="L236" s="9" t="s">
        <v>71</v>
      </c>
      <c r="M236" s="9"/>
      <c r="N236" s="9">
        <f>ROUND((IF(G236="",Analysis!$B$2,G236)-F236)/365.25,1)</f>
        <v>8.1999999999999993</v>
      </c>
      <c r="O236" s="9" t="str">
        <f>IF(G236="","",YEAR(G236))</f>
        <v/>
      </c>
      <c r="P236" s="9" t="str">
        <f>IF(E236&lt;30,"&lt;30",IF(E236&lt;40,"30-39","40+"))</f>
        <v>30-39</v>
      </c>
    </row>
    <row r="237" spans="1:16" x14ac:dyDescent="0.25">
      <c r="A237" s="9" t="s">
        <v>588</v>
      </c>
      <c r="B237" s="9" t="s">
        <v>63</v>
      </c>
      <c r="C237" s="9" t="s">
        <v>105</v>
      </c>
      <c r="D237" s="9" t="s">
        <v>193</v>
      </c>
      <c r="E237" s="9">
        <v>27</v>
      </c>
      <c r="F237" s="20">
        <v>44962</v>
      </c>
      <c r="G237" s="20"/>
      <c r="H237" s="9" t="s">
        <v>51</v>
      </c>
      <c r="I237" s="21">
        <v>65200</v>
      </c>
      <c r="J237" s="9">
        <v>3</v>
      </c>
      <c r="K237" s="9">
        <v>4</v>
      </c>
      <c r="L237" s="9" t="s">
        <v>71</v>
      </c>
      <c r="M237" s="9"/>
      <c r="N237" s="9">
        <f>ROUND((IF(G237="",Analysis!$B$2,G237)-F237)/365.25,1)</f>
        <v>3.7</v>
      </c>
      <c r="O237" s="9" t="str">
        <f>IF(G237="","",YEAR(G237))</f>
        <v/>
      </c>
      <c r="P237" s="9" t="str">
        <f>IF(E237&lt;30,"&lt;30",IF(E237&lt;40,"30-39","40+"))</f>
        <v>&lt;30</v>
      </c>
    </row>
    <row r="238" spans="1:16" x14ac:dyDescent="0.25">
      <c r="A238" s="9" t="s">
        <v>333</v>
      </c>
      <c r="B238" s="9" t="s">
        <v>58</v>
      </c>
      <c r="C238" s="9" t="s">
        <v>121</v>
      </c>
      <c r="D238" s="9" t="s">
        <v>102</v>
      </c>
      <c r="E238" s="9">
        <v>26</v>
      </c>
      <c r="F238" s="20">
        <v>46055</v>
      </c>
      <c r="G238" s="20"/>
      <c r="H238" s="9" t="s">
        <v>51</v>
      </c>
      <c r="I238" s="21">
        <v>65300</v>
      </c>
      <c r="J238" s="9">
        <v>3</v>
      </c>
      <c r="K238" s="9">
        <v>3</v>
      </c>
      <c r="L238" s="9" t="s">
        <v>70</v>
      </c>
      <c r="M238" s="9"/>
      <c r="N238" s="9">
        <f>ROUND((IF(G238="",Analysis!$B$2,G238)-F238)/365.25,1)</f>
        <v>0.7</v>
      </c>
      <c r="O238" s="9" t="str">
        <f>IF(G238="","",YEAR(G238))</f>
        <v/>
      </c>
      <c r="P238" s="9" t="str">
        <f>IF(E238&lt;30,"&lt;30",IF(E238&lt;40,"30-39","40+"))</f>
        <v>&lt;30</v>
      </c>
    </row>
    <row r="239" spans="1:16" x14ac:dyDescent="0.25">
      <c r="A239" s="9" t="s">
        <v>294</v>
      </c>
      <c r="B239" s="9" t="s">
        <v>58</v>
      </c>
      <c r="C239" s="9" t="s">
        <v>121</v>
      </c>
      <c r="D239" s="9" t="s">
        <v>102</v>
      </c>
      <c r="E239" s="9">
        <v>26</v>
      </c>
      <c r="F239" s="20">
        <v>43810</v>
      </c>
      <c r="G239" s="20"/>
      <c r="H239" s="9" t="s">
        <v>51</v>
      </c>
      <c r="I239" s="21">
        <v>65800</v>
      </c>
      <c r="J239" s="9">
        <v>3</v>
      </c>
      <c r="K239" s="9">
        <v>3</v>
      </c>
      <c r="L239" s="9" t="s">
        <v>71</v>
      </c>
      <c r="M239" s="9"/>
      <c r="N239" s="9">
        <f>ROUND((IF(G239="",Analysis!$B$2,G239)-F239)/365.25,1)</f>
        <v>6.9</v>
      </c>
      <c r="O239" s="9" t="str">
        <f>IF(G239="","",YEAR(G239))</f>
        <v/>
      </c>
      <c r="P239" s="9" t="str">
        <f>IF(E239&lt;30,"&lt;30",IF(E239&lt;40,"30-39","40+"))</f>
        <v>&lt;30</v>
      </c>
    </row>
    <row r="240" spans="1:16" x14ac:dyDescent="0.25">
      <c r="A240" s="9" t="s">
        <v>293</v>
      </c>
      <c r="B240" s="9" t="s">
        <v>57</v>
      </c>
      <c r="C240" s="9" t="s">
        <v>112</v>
      </c>
      <c r="D240" s="9" t="s">
        <v>110</v>
      </c>
      <c r="E240" s="9">
        <v>31</v>
      </c>
      <c r="F240" s="20">
        <v>45178</v>
      </c>
      <c r="G240" s="20">
        <v>45624</v>
      </c>
      <c r="H240" s="9" t="s">
        <v>103</v>
      </c>
      <c r="I240" s="21">
        <v>65800</v>
      </c>
      <c r="J240" s="9">
        <v>3</v>
      </c>
      <c r="K240" s="9">
        <v>3</v>
      </c>
      <c r="L240" s="9" t="s">
        <v>70</v>
      </c>
      <c r="M240" s="9" t="s">
        <v>83</v>
      </c>
      <c r="N240" s="9">
        <f>ROUND((IF(G240="",Analysis!$B$2,G240)-F240)/365.25,1)</f>
        <v>1.2</v>
      </c>
      <c r="O240" s="9">
        <f>IF(G240="","",YEAR(G240))</f>
        <v>2024</v>
      </c>
      <c r="P240" s="9" t="str">
        <f>IF(E240&lt;30,"&lt;30",IF(E240&lt;40,"30-39","40+"))</f>
        <v>30-39</v>
      </c>
    </row>
    <row r="241" spans="1:16" x14ac:dyDescent="0.25">
      <c r="A241" s="9" t="s">
        <v>612</v>
      </c>
      <c r="B241" s="9" t="s">
        <v>62</v>
      </c>
      <c r="C241" s="9" t="s">
        <v>150</v>
      </c>
      <c r="D241" s="9" t="s">
        <v>110</v>
      </c>
      <c r="E241" s="9">
        <v>32</v>
      </c>
      <c r="F241" s="20">
        <v>44433</v>
      </c>
      <c r="G241" s="20"/>
      <c r="H241" s="9" t="s">
        <v>51</v>
      </c>
      <c r="I241" s="21">
        <v>66000</v>
      </c>
      <c r="J241" s="9">
        <v>3</v>
      </c>
      <c r="K241" s="9">
        <v>5</v>
      </c>
      <c r="L241" s="9" t="s">
        <v>71</v>
      </c>
      <c r="M241" s="9"/>
      <c r="N241" s="9">
        <f>ROUND((IF(G241="",Analysis!$B$2,G241)-F241)/365.25,1)</f>
        <v>5.2</v>
      </c>
      <c r="O241" s="9" t="str">
        <f>IF(G241="","",YEAR(G241))</f>
        <v/>
      </c>
      <c r="P241" s="9" t="str">
        <f>IF(E241&lt;30,"&lt;30",IF(E241&lt;40,"30-39","40+"))</f>
        <v>30-39</v>
      </c>
    </row>
    <row r="242" spans="1:16" x14ac:dyDescent="0.25">
      <c r="A242" s="9" t="s">
        <v>531</v>
      </c>
      <c r="B242" s="9" t="s">
        <v>57</v>
      </c>
      <c r="C242" s="9" t="s">
        <v>112</v>
      </c>
      <c r="D242" s="9" t="s">
        <v>110</v>
      </c>
      <c r="E242" s="9">
        <v>33</v>
      </c>
      <c r="F242" s="20">
        <v>44700</v>
      </c>
      <c r="G242" s="20"/>
      <c r="H242" s="9" t="s">
        <v>51</v>
      </c>
      <c r="I242" s="21">
        <v>66400</v>
      </c>
      <c r="J242" s="9">
        <v>3</v>
      </c>
      <c r="K242" s="9">
        <v>4</v>
      </c>
      <c r="L242" s="9" t="s">
        <v>70</v>
      </c>
      <c r="M242" s="9"/>
      <c r="N242" s="9">
        <f>ROUND((IF(G242="",Analysis!$B$2,G242)-F242)/365.25,1)</f>
        <v>4.4000000000000004</v>
      </c>
      <c r="O242" s="9" t="str">
        <f>IF(G242="","",YEAR(G242))</f>
        <v/>
      </c>
      <c r="P242" s="9" t="str">
        <f>IF(E242&lt;30,"&lt;30",IF(E242&lt;40,"30-39","40+"))</f>
        <v>30-39</v>
      </c>
    </row>
    <row r="243" spans="1:16" x14ac:dyDescent="0.25">
      <c r="A243" s="9" t="s">
        <v>568</v>
      </c>
      <c r="B243" s="9" t="s">
        <v>58</v>
      </c>
      <c r="C243" s="9" t="s">
        <v>121</v>
      </c>
      <c r="D243" s="9" t="s">
        <v>110</v>
      </c>
      <c r="E243" s="9">
        <v>34</v>
      </c>
      <c r="F243" s="20">
        <v>43408</v>
      </c>
      <c r="G243" s="20"/>
      <c r="H243" s="9" t="s">
        <v>51</v>
      </c>
      <c r="I243" s="21">
        <v>66600</v>
      </c>
      <c r="J243" s="9">
        <v>3</v>
      </c>
      <c r="K243" s="9">
        <v>3</v>
      </c>
      <c r="L243" s="9" t="s">
        <v>71</v>
      </c>
      <c r="M243" s="9"/>
      <c r="N243" s="9">
        <f>ROUND((IF(G243="",Analysis!$B$2,G243)-F243)/365.25,1)</f>
        <v>8</v>
      </c>
      <c r="O243" s="9" t="str">
        <f>IF(G243="","",YEAR(G243))</f>
        <v/>
      </c>
      <c r="P243" s="9" t="str">
        <f>IF(E243&lt;30,"&lt;30",IF(E243&lt;40,"30-39","40+"))</f>
        <v>30-39</v>
      </c>
    </row>
    <row r="244" spans="1:16" x14ac:dyDescent="0.25">
      <c r="A244" s="9" t="s">
        <v>508</v>
      </c>
      <c r="B244" s="9" t="s">
        <v>57</v>
      </c>
      <c r="C244" s="9" t="s">
        <v>139</v>
      </c>
      <c r="D244" s="9" t="s">
        <v>102</v>
      </c>
      <c r="E244" s="9">
        <v>30</v>
      </c>
      <c r="F244" s="20">
        <v>43333</v>
      </c>
      <c r="G244" s="20"/>
      <c r="H244" s="9" t="s">
        <v>51</v>
      </c>
      <c r="I244" s="21">
        <v>66800</v>
      </c>
      <c r="J244" s="9">
        <v>3</v>
      </c>
      <c r="K244" s="9">
        <v>2</v>
      </c>
      <c r="L244" s="9" t="s">
        <v>71</v>
      </c>
      <c r="M244" s="9"/>
      <c r="N244" s="9">
        <f>ROUND((IF(G244="",Analysis!$B$2,G244)-F244)/365.25,1)</f>
        <v>8.1999999999999993</v>
      </c>
      <c r="O244" s="9" t="str">
        <f>IF(G244="","",YEAR(G244))</f>
        <v/>
      </c>
      <c r="P244" s="9" t="str">
        <f>IF(E244&lt;30,"&lt;30",IF(E244&lt;40,"30-39","40+"))</f>
        <v>30-39</v>
      </c>
    </row>
    <row r="245" spans="1:16" x14ac:dyDescent="0.25">
      <c r="A245" s="9" t="s">
        <v>585</v>
      </c>
      <c r="B245" s="9" t="s">
        <v>59</v>
      </c>
      <c r="C245" s="9" t="s">
        <v>137</v>
      </c>
      <c r="D245" s="9" t="s">
        <v>102</v>
      </c>
      <c r="E245" s="9">
        <v>24</v>
      </c>
      <c r="F245" s="20">
        <v>44102</v>
      </c>
      <c r="G245" s="20"/>
      <c r="H245" s="9" t="s">
        <v>51</v>
      </c>
      <c r="I245" s="21">
        <v>67100</v>
      </c>
      <c r="J245" s="9">
        <v>3</v>
      </c>
      <c r="K245" s="9">
        <v>3</v>
      </c>
      <c r="L245" s="9" t="s">
        <v>70</v>
      </c>
      <c r="M245" s="9"/>
      <c r="N245" s="9">
        <f>ROUND((IF(G245="",Analysis!$B$2,G245)-F245)/365.25,1)</f>
        <v>6.1</v>
      </c>
      <c r="O245" s="9" t="str">
        <f>IF(G245="","",YEAR(G245))</f>
        <v/>
      </c>
      <c r="P245" s="9" t="str">
        <f>IF(E245&lt;30,"&lt;30",IF(E245&lt;40,"30-39","40+"))</f>
        <v>&lt;30</v>
      </c>
    </row>
    <row r="246" spans="1:16" x14ac:dyDescent="0.25">
      <c r="A246" s="9" t="s">
        <v>555</v>
      </c>
      <c r="B246" s="9" t="s">
        <v>63</v>
      </c>
      <c r="C246" s="9" t="s">
        <v>105</v>
      </c>
      <c r="D246" s="9" t="s">
        <v>110</v>
      </c>
      <c r="E246" s="9">
        <v>21</v>
      </c>
      <c r="F246" s="20">
        <v>43481</v>
      </c>
      <c r="G246" s="20"/>
      <c r="H246" s="9" t="s">
        <v>51</v>
      </c>
      <c r="I246" s="21">
        <v>67300</v>
      </c>
      <c r="J246" s="9">
        <v>3</v>
      </c>
      <c r="K246" s="9">
        <v>5</v>
      </c>
      <c r="L246" s="9" t="s">
        <v>71</v>
      </c>
      <c r="M246" s="9"/>
      <c r="N246" s="9">
        <f>ROUND((IF(G246="",Analysis!$B$2,G246)-F246)/365.25,1)</f>
        <v>7.8</v>
      </c>
      <c r="O246" s="9" t="str">
        <f>IF(G246="","",YEAR(G246))</f>
        <v/>
      </c>
      <c r="P246" s="9" t="str">
        <f>IF(E246&lt;30,"&lt;30",IF(E246&lt;40,"30-39","40+"))</f>
        <v>&lt;30</v>
      </c>
    </row>
    <row r="247" spans="1:16" x14ac:dyDescent="0.25">
      <c r="A247" s="9" t="s">
        <v>345</v>
      </c>
      <c r="B247" s="9" t="s">
        <v>57</v>
      </c>
      <c r="C247" s="9" t="s">
        <v>112</v>
      </c>
      <c r="D247" s="9" t="s">
        <v>102</v>
      </c>
      <c r="E247" s="9">
        <v>29</v>
      </c>
      <c r="F247" s="20">
        <v>43774</v>
      </c>
      <c r="G247" s="20"/>
      <c r="H247" s="9" t="s">
        <v>51</v>
      </c>
      <c r="I247" s="21">
        <v>67500</v>
      </c>
      <c r="J247" s="9">
        <v>3</v>
      </c>
      <c r="K247" s="9">
        <v>4</v>
      </c>
      <c r="L247" s="9" t="s">
        <v>70</v>
      </c>
      <c r="M247" s="9"/>
      <c r="N247" s="9">
        <f>ROUND((IF(G247="",Analysis!$B$2,G247)-F247)/365.25,1)</f>
        <v>7</v>
      </c>
      <c r="O247" s="9" t="str">
        <f>IF(G247="","",YEAR(G247))</f>
        <v/>
      </c>
      <c r="P247" s="9" t="str">
        <f>IF(E247&lt;30,"&lt;30",IF(E247&lt;40,"30-39","40+"))</f>
        <v>&lt;30</v>
      </c>
    </row>
    <row r="248" spans="1:16" x14ac:dyDescent="0.25">
      <c r="A248" s="9" t="s">
        <v>638</v>
      </c>
      <c r="B248" s="9" t="s">
        <v>57</v>
      </c>
      <c r="C248" s="9" t="s">
        <v>139</v>
      </c>
      <c r="D248" s="9" t="s">
        <v>102</v>
      </c>
      <c r="E248" s="9">
        <v>21</v>
      </c>
      <c r="F248" s="20">
        <v>44995</v>
      </c>
      <c r="G248" s="20"/>
      <c r="H248" s="9" t="s">
        <v>51</v>
      </c>
      <c r="I248" s="21">
        <v>67600</v>
      </c>
      <c r="J248" s="9">
        <v>3</v>
      </c>
      <c r="K248" s="9">
        <v>5</v>
      </c>
      <c r="L248" s="9" t="s">
        <v>70</v>
      </c>
      <c r="M248" s="9"/>
      <c r="N248" s="9">
        <f>ROUND((IF(G248="",Analysis!$B$2,G248)-F248)/365.25,1)</f>
        <v>3.6</v>
      </c>
      <c r="O248" s="9" t="str">
        <f>IF(G248="","",YEAR(G248))</f>
        <v/>
      </c>
      <c r="P248" s="9" t="str">
        <f>IF(E248&lt;30,"&lt;30",IF(E248&lt;40,"30-39","40+"))</f>
        <v>&lt;30</v>
      </c>
    </row>
    <row r="249" spans="1:16" x14ac:dyDescent="0.25">
      <c r="A249" s="9" t="s">
        <v>455</v>
      </c>
      <c r="B249" s="9" t="s">
        <v>57</v>
      </c>
      <c r="C249" s="9" t="s">
        <v>139</v>
      </c>
      <c r="D249" s="9" t="s">
        <v>110</v>
      </c>
      <c r="E249" s="9">
        <v>26</v>
      </c>
      <c r="F249" s="20">
        <v>44318</v>
      </c>
      <c r="G249" s="20"/>
      <c r="H249" s="9" t="s">
        <v>51</v>
      </c>
      <c r="I249" s="21">
        <v>67700</v>
      </c>
      <c r="J249" s="9">
        <v>3</v>
      </c>
      <c r="K249" s="9">
        <v>5</v>
      </c>
      <c r="L249" s="9" t="s">
        <v>71</v>
      </c>
      <c r="M249" s="9"/>
      <c r="N249" s="9">
        <f>ROUND((IF(G249="",Analysis!$B$2,G249)-F249)/365.25,1)</f>
        <v>5.5</v>
      </c>
      <c r="O249" s="9" t="str">
        <f>IF(G249="","",YEAR(G249))</f>
        <v/>
      </c>
      <c r="P249" s="9" t="str">
        <f>IF(E249&lt;30,"&lt;30",IF(E249&lt;40,"30-39","40+"))</f>
        <v>&lt;30</v>
      </c>
    </row>
    <row r="250" spans="1:16" x14ac:dyDescent="0.25">
      <c r="A250" s="9" t="s">
        <v>489</v>
      </c>
      <c r="B250" s="9" t="s">
        <v>60</v>
      </c>
      <c r="C250" s="9" t="s">
        <v>191</v>
      </c>
      <c r="D250" s="9" t="s">
        <v>110</v>
      </c>
      <c r="E250" s="9">
        <v>33</v>
      </c>
      <c r="F250" s="20">
        <v>43959</v>
      </c>
      <c r="G250" s="20">
        <v>44730</v>
      </c>
      <c r="H250" s="9" t="s">
        <v>103</v>
      </c>
      <c r="I250" s="21">
        <v>67700</v>
      </c>
      <c r="J250" s="9">
        <v>3</v>
      </c>
      <c r="K250" s="9">
        <v>1</v>
      </c>
      <c r="L250" s="9" t="s">
        <v>70</v>
      </c>
      <c r="M250" s="9" t="s">
        <v>80</v>
      </c>
      <c r="N250" s="9">
        <f>ROUND((IF(G250="",Analysis!$B$2,G250)-F250)/365.25,1)</f>
        <v>2.1</v>
      </c>
      <c r="O250" s="9">
        <f>IF(G250="","",YEAR(G250))</f>
        <v>2022</v>
      </c>
      <c r="P250" s="9" t="str">
        <f>IF(E250&lt;30,"&lt;30",IF(E250&lt;40,"30-39","40+"))</f>
        <v>30-39</v>
      </c>
    </row>
    <row r="251" spans="1:16" x14ac:dyDescent="0.25">
      <c r="A251" s="9" t="s">
        <v>672</v>
      </c>
      <c r="B251" s="9" t="s">
        <v>62</v>
      </c>
      <c r="C251" s="9" t="s">
        <v>150</v>
      </c>
      <c r="D251" s="9" t="s">
        <v>102</v>
      </c>
      <c r="E251" s="9">
        <v>28</v>
      </c>
      <c r="F251" s="20">
        <v>44266</v>
      </c>
      <c r="G251" s="20">
        <v>45612</v>
      </c>
      <c r="H251" s="9" t="s">
        <v>103</v>
      </c>
      <c r="I251" s="21">
        <v>68400</v>
      </c>
      <c r="J251" s="9">
        <v>3</v>
      </c>
      <c r="K251" s="9">
        <v>4</v>
      </c>
      <c r="L251" s="9" t="s">
        <v>71</v>
      </c>
      <c r="M251" s="9" t="s">
        <v>81</v>
      </c>
      <c r="N251" s="9">
        <f>ROUND((IF(G251="",Analysis!$B$2,G251)-F251)/365.25,1)</f>
        <v>3.7</v>
      </c>
      <c r="O251" s="9">
        <f>IF(G251="","",YEAR(G251))</f>
        <v>2024</v>
      </c>
      <c r="P251" s="9" t="str">
        <f>IF(E251&lt;30,"&lt;30",IF(E251&lt;40,"30-39","40+"))</f>
        <v>&lt;30</v>
      </c>
    </row>
    <row r="252" spans="1:16" x14ac:dyDescent="0.25">
      <c r="A252" s="9" t="s">
        <v>441</v>
      </c>
      <c r="B252" s="9" t="s">
        <v>58</v>
      </c>
      <c r="C252" s="9" t="s">
        <v>121</v>
      </c>
      <c r="D252" s="9" t="s">
        <v>110</v>
      </c>
      <c r="E252" s="9">
        <v>36</v>
      </c>
      <c r="F252" s="20">
        <v>45245</v>
      </c>
      <c r="G252" s="20"/>
      <c r="H252" s="9" t="s">
        <v>51</v>
      </c>
      <c r="I252" s="21">
        <v>68900</v>
      </c>
      <c r="J252" s="9">
        <v>3</v>
      </c>
      <c r="K252" s="9">
        <v>1</v>
      </c>
      <c r="L252" s="9" t="s">
        <v>71</v>
      </c>
      <c r="M252" s="9"/>
      <c r="N252" s="9">
        <f>ROUND((IF(G252="",Analysis!$B$2,G252)-F252)/365.25,1)</f>
        <v>2.9</v>
      </c>
      <c r="O252" s="9" t="str">
        <f>IF(G252="","",YEAR(G252))</f>
        <v/>
      </c>
      <c r="P252" s="9" t="str">
        <f>IF(E252&lt;30,"&lt;30",IF(E252&lt;40,"30-39","40+"))</f>
        <v>30-39</v>
      </c>
    </row>
    <row r="253" spans="1:16" x14ac:dyDescent="0.25">
      <c r="A253" s="9" t="s">
        <v>639</v>
      </c>
      <c r="B253" s="9" t="s">
        <v>62</v>
      </c>
      <c r="C253" s="9" t="s">
        <v>150</v>
      </c>
      <c r="D253" s="9" t="s">
        <v>102</v>
      </c>
      <c r="E253" s="9">
        <v>42</v>
      </c>
      <c r="F253" s="20">
        <v>44231</v>
      </c>
      <c r="G253" s="20"/>
      <c r="H253" s="9" t="s">
        <v>51</v>
      </c>
      <c r="I253" s="21">
        <v>69100</v>
      </c>
      <c r="J253" s="9">
        <v>3</v>
      </c>
      <c r="K253" s="9">
        <v>3</v>
      </c>
      <c r="L253" s="9" t="s">
        <v>71</v>
      </c>
      <c r="M253" s="9"/>
      <c r="N253" s="9">
        <f>ROUND((IF(G253="",Analysis!$B$2,G253)-F253)/365.25,1)</f>
        <v>5.7</v>
      </c>
      <c r="O253" s="9" t="str">
        <f>IF(G253="","",YEAR(G253))</f>
        <v/>
      </c>
      <c r="P253" s="9" t="str">
        <f>IF(E253&lt;30,"&lt;30",IF(E253&lt;40,"30-39","40+"))</f>
        <v>40+</v>
      </c>
    </row>
    <row r="254" spans="1:16" x14ac:dyDescent="0.25">
      <c r="A254" s="9" t="s">
        <v>540</v>
      </c>
      <c r="B254" s="9" t="s">
        <v>62</v>
      </c>
      <c r="C254" s="9" t="s">
        <v>150</v>
      </c>
      <c r="D254" s="9" t="s">
        <v>110</v>
      </c>
      <c r="E254" s="9">
        <v>27</v>
      </c>
      <c r="F254" s="20">
        <v>43262</v>
      </c>
      <c r="G254" s="20"/>
      <c r="H254" s="9" t="s">
        <v>51</v>
      </c>
      <c r="I254" s="21">
        <v>69500</v>
      </c>
      <c r="J254" s="9">
        <v>3</v>
      </c>
      <c r="K254" s="9">
        <v>3</v>
      </c>
      <c r="L254" s="9" t="s">
        <v>71</v>
      </c>
      <c r="M254" s="9"/>
      <c r="N254" s="9">
        <f>ROUND((IF(G254="",Analysis!$B$2,G254)-F254)/365.25,1)</f>
        <v>8.4</v>
      </c>
      <c r="O254" s="9" t="str">
        <f>IF(G254="","",YEAR(G254))</f>
        <v/>
      </c>
      <c r="P254" s="9" t="str">
        <f>IF(E254&lt;30,"&lt;30",IF(E254&lt;40,"30-39","40+"))</f>
        <v>&lt;30</v>
      </c>
    </row>
    <row r="255" spans="1:16" x14ac:dyDescent="0.25">
      <c r="A255" s="9" t="s">
        <v>488</v>
      </c>
      <c r="B255" s="9" t="s">
        <v>60</v>
      </c>
      <c r="C255" s="9" t="s">
        <v>191</v>
      </c>
      <c r="D255" s="9" t="s">
        <v>193</v>
      </c>
      <c r="E255" s="9">
        <v>32</v>
      </c>
      <c r="F255" s="20">
        <v>43457</v>
      </c>
      <c r="G255" s="20"/>
      <c r="H255" s="9" t="s">
        <v>51</v>
      </c>
      <c r="I255" s="21">
        <v>69700</v>
      </c>
      <c r="J255" s="9">
        <v>3</v>
      </c>
      <c r="K255" s="9">
        <v>3</v>
      </c>
      <c r="L255" s="9" t="s">
        <v>71</v>
      </c>
      <c r="M255" s="9"/>
      <c r="N255" s="9">
        <f>ROUND((IF(G255="",Analysis!$B$2,G255)-F255)/365.25,1)</f>
        <v>7.8</v>
      </c>
      <c r="O255" s="9" t="str">
        <f>IF(G255="","",YEAR(G255))</f>
        <v/>
      </c>
      <c r="P255" s="9" t="str">
        <f>IF(E255&lt;30,"&lt;30",IF(E255&lt;40,"30-39","40+"))</f>
        <v>30-39</v>
      </c>
    </row>
    <row r="256" spans="1:16" x14ac:dyDescent="0.25">
      <c r="A256" s="9" t="s">
        <v>598</v>
      </c>
      <c r="B256" s="9" t="s">
        <v>57</v>
      </c>
      <c r="C256" s="9" t="s">
        <v>139</v>
      </c>
      <c r="D256" s="9" t="s">
        <v>102</v>
      </c>
      <c r="E256" s="9">
        <v>31</v>
      </c>
      <c r="F256" s="20">
        <v>46156</v>
      </c>
      <c r="G256" s="20">
        <v>46314</v>
      </c>
      <c r="H256" s="9" t="s">
        <v>103</v>
      </c>
      <c r="I256" s="21">
        <v>70200</v>
      </c>
      <c r="J256" s="9">
        <v>3</v>
      </c>
      <c r="K256" s="9">
        <v>3</v>
      </c>
      <c r="L256" s="9" t="s">
        <v>71</v>
      </c>
      <c r="M256" s="9" t="s">
        <v>85</v>
      </c>
      <c r="N256" s="9">
        <f>ROUND((IF(G256="",Analysis!$B$2,G256)-F256)/365.25,1)</f>
        <v>0.4</v>
      </c>
      <c r="O256" s="9">
        <f>IF(G256="","",YEAR(G256))</f>
        <v>2026</v>
      </c>
      <c r="P256" s="9" t="str">
        <f>IF(E256&lt;30,"&lt;30",IF(E256&lt;40,"30-39","40+"))</f>
        <v>30-39</v>
      </c>
    </row>
    <row r="257" spans="1:16" x14ac:dyDescent="0.25">
      <c r="A257" s="9" t="s">
        <v>361</v>
      </c>
      <c r="B257" s="9" t="s">
        <v>60</v>
      </c>
      <c r="C257" s="9" t="s">
        <v>191</v>
      </c>
      <c r="D257" s="9" t="s">
        <v>102</v>
      </c>
      <c r="E257" s="9">
        <v>60</v>
      </c>
      <c r="F257" s="20">
        <v>45874</v>
      </c>
      <c r="G257" s="20"/>
      <c r="H257" s="9" t="s">
        <v>51</v>
      </c>
      <c r="I257" s="21">
        <v>70600</v>
      </c>
      <c r="J257" s="9">
        <v>3</v>
      </c>
      <c r="K257" s="9">
        <v>4</v>
      </c>
      <c r="L257" s="9" t="s">
        <v>71</v>
      </c>
      <c r="M257" s="9"/>
      <c r="N257" s="9">
        <f>ROUND((IF(G257="",Analysis!$B$2,G257)-F257)/365.25,1)</f>
        <v>1.2</v>
      </c>
      <c r="O257" s="9" t="str">
        <f>IF(G257="","",YEAR(G257))</f>
        <v/>
      </c>
      <c r="P257" s="9" t="str">
        <f>IF(E257&lt;30,"&lt;30",IF(E257&lt;40,"30-39","40+"))</f>
        <v>40+</v>
      </c>
    </row>
    <row r="258" spans="1:16" x14ac:dyDescent="0.25">
      <c r="A258" s="9" t="s">
        <v>572</v>
      </c>
      <c r="B258" s="9" t="s">
        <v>57</v>
      </c>
      <c r="C258" s="9" t="s">
        <v>112</v>
      </c>
      <c r="D258" s="9" t="s">
        <v>193</v>
      </c>
      <c r="E258" s="9">
        <v>28</v>
      </c>
      <c r="F258" s="20">
        <v>43483</v>
      </c>
      <c r="G258" s="20"/>
      <c r="H258" s="9" t="s">
        <v>51</v>
      </c>
      <c r="I258" s="21">
        <v>70800</v>
      </c>
      <c r="J258" s="9">
        <v>3</v>
      </c>
      <c r="K258" s="9">
        <v>5</v>
      </c>
      <c r="L258" s="9" t="s">
        <v>71</v>
      </c>
      <c r="M258" s="9"/>
      <c r="N258" s="9">
        <f>ROUND((IF(G258="",Analysis!$B$2,G258)-F258)/365.25,1)</f>
        <v>7.8</v>
      </c>
      <c r="O258" s="9" t="str">
        <f>IF(G258="","",YEAR(G258))</f>
        <v/>
      </c>
      <c r="P258" s="9" t="str">
        <f>IF(E258&lt;30,"&lt;30",IF(E258&lt;40,"30-39","40+"))</f>
        <v>&lt;30</v>
      </c>
    </row>
    <row r="259" spans="1:16" x14ac:dyDescent="0.25">
      <c r="A259" s="9" t="s">
        <v>496</v>
      </c>
      <c r="B259" s="9" t="s">
        <v>60</v>
      </c>
      <c r="C259" s="9" t="s">
        <v>191</v>
      </c>
      <c r="D259" s="9" t="s">
        <v>102</v>
      </c>
      <c r="E259" s="9">
        <v>43</v>
      </c>
      <c r="F259" s="20">
        <v>45368</v>
      </c>
      <c r="G259" s="20">
        <v>45764</v>
      </c>
      <c r="H259" s="9" t="s">
        <v>103</v>
      </c>
      <c r="I259" s="21">
        <v>70900</v>
      </c>
      <c r="J259" s="9">
        <v>3</v>
      </c>
      <c r="K259" s="9">
        <v>3</v>
      </c>
      <c r="L259" s="9" t="s">
        <v>70</v>
      </c>
      <c r="M259" s="9" t="s">
        <v>79</v>
      </c>
      <c r="N259" s="9">
        <f>ROUND((IF(G259="",Analysis!$B$2,G259)-F259)/365.25,1)</f>
        <v>1.1000000000000001</v>
      </c>
      <c r="O259" s="9">
        <f>IF(G259="","",YEAR(G259))</f>
        <v>2025</v>
      </c>
      <c r="P259" s="9" t="str">
        <f>IF(E259&lt;30,"&lt;30",IF(E259&lt;40,"30-39","40+"))</f>
        <v>40+</v>
      </c>
    </row>
    <row r="260" spans="1:16" x14ac:dyDescent="0.25">
      <c r="A260" s="9" t="s">
        <v>149</v>
      </c>
      <c r="B260" s="9" t="s">
        <v>62</v>
      </c>
      <c r="C260" s="9" t="s">
        <v>150</v>
      </c>
      <c r="D260" s="9" t="s">
        <v>110</v>
      </c>
      <c r="E260" s="9">
        <v>28</v>
      </c>
      <c r="F260" s="20">
        <v>45888</v>
      </c>
      <c r="G260" s="20">
        <v>46135</v>
      </c>
      <c r="H260" s="9" t="s">
        <v>103</v>
      </c>
      <c r="I260" s="21">
        <v>71000</v>
      </c>
      <c r="J260" s="9">
        <v>3</v>
      </c>
      <c r="K260" s="9">
        <v>2</v>
      </c>
      <c r="L260" s="9" t="s">
        <v>71</v>
      </c>
      <c r="M260" s="9" t="s">
        <v>81</v>
      </c>
      <c r="N260" s="9">
        <f>ROUND((IF(G260="",Analysis!$B$2,G260)-F260)/365.25,1)</f>
        <v>0.7</v>
      </c>
      <c r="O260" s="9">
        <f>IF(G260="","",YEAR(G260))</f>
        <v>2026</v>
      </c>
      <c r="P260" s="9" t="str">
        <f>IF(E260&lt;30,"&lt;30",IF(E260&lt;40,"30-39","40+"))</f>
        <v>&lt;30</v>
      </c>
    </row>
    <row r="261" spans="1:16" x14ac:dyDescent="0.25">
      <c r="A261" s="9" t="s">
        <v>245</v>
      </c>
      <c r="B261" s="9" t="s">
        <v>57</v>
      </c>
      <c r="C261" s="9" t="s">
        <v>139</v>
      </c>
      <c r="D261" s="9" t="s">
        <v>110</v>
      </c>
      <c r="E261" s="9">
        <v>31</v>
      </c>
      <c r="F261" s="20">
        <v>43586</v>
      </c>
      <c r="G261" s="20"/>
      <c r="H261" s="9" t="s">
        <v>51</v>
      </c>
      <c r="I261" s="21">
        <v>71100</v>
      </c>
      <c r="J261" s="9">
        <v>3</v>
      </c>
      <c r="K261" s="9">
        <v>3</v>
      </c>
      <c r="L261" s="9" t="s">
        <v>71</v>
      </c>
      <c r="M261" s="9"/>
      <c r="N261" s="9">
        <f>ROUND((IF(G261="",Analysis!$B$2,G261)-F261)/365.25,1)</f>
        <v>7.5</v>
      </c>
      <c r="O261" s="9" t="str">
        <f>IF(G261="","",YEAR(G261))</f>
        <v/>
      </c>
      <c r="P261" s="9" t="str">
        <f>IF(E261&lt;30,"&lt;30",IF(E261&lt;40,"30-39","40+"))</f>
        <v>30-39</v>
      </c>
    </row>
    <row r="262" spans="1:16" x14ac:dyDescent="0.25">
      <c r="A262" s="9" t="s">
        <v>667</v>
      </c>
      <c r="B262" s="9" t="s">
        <v>63</v>
      </c>
      <c r="C262" s="9" t="s">
        <v>105</v>
      </c>
      <c r="D262" s="9" t="s">
        <v>102</v>
      </c>
      <c r="E262" s="9">
        <v>37</v>
      </c>
      <c r="F262" s="20">
        <v>45929</v>
      </c>
      <c r="G262" s="20">
        <v>46064</v>
      </c>
      <c r="H262" s="9" t="s">
        <v>103</v>
      </c>
      <c r="I262" s="21">
        <v>71100</v>
      </c>
      <c r="J262" s="9">
        <v>3</v>
      </c>
      <c r="K262" s="9">
        <v>4</v>
      </c>
      <c r="L262" s="9" t="s">
        <v>70</v>
      </c>
      <c r="M262" s="9" t="s">
        <v>80</v>
      </c>
      <c r="N262" s="9">
        <f>ROUND((IF(G262="",Analysis!$B$2,G262)-F262)/365.25,1)</f>
        <v>0.4</v>
      </c>
      <c r="O262" s="9">
        <f>IF(G262="","",YEAR(G262))</f>
        <v>2026</v>
      </c>
      <c r="P262" s="9" t="str">
        <f>IF(E262&lt;30,"&lt;30",IF(E262&lt;40,"30-39","40+"))</f>
        <v>30-39</v>
      </c>
    </row>
    <row r="263" spans="1:16" x14ac:dyDescent="0.25">
      <c r="A263" s="9" t="s">
        <v>231</v>
      </c>
      <c r="B263" s="9" t="s">
        <v>58</v>
      </c>
      <c r="C263" s="9" t="s">
        <v>121</v>
      </c>
      <c r="D263" s="9" t="s">
        <v>110</v>
      </c>
      <c r="E263" s="9">
        <v>37</v>
      </c>
      <c r="F263" s="20">
        <v>43609</v>
      </c>
      <c r="G263" s="20"/>
      <c r="H263" s="9" t="s">
        <v>51</v>
      </c>
      <c r="I263" s="21">
        <v>71200</v>
      </c>
      <c r="J263" s="9">
        <v>3</v>
      </c>
      <c r="K263" s="9">
        <v>3</v>
      </c>
      <c r="L263" s="9" t="s">
        <v>71</v>
      </c>
      <c r="M263" s="9"/>
      <c r="N263" s="9">
        <f>ROUND((IF(G263="",Analysis!$B$2,G263)-F263)/365.25,1)</f>
        <v>7.4</v>
      </c>
      <c r="O263" s="9" t="str">
        <f>IF(G263="","",YEAR(G263))</f>
        <v/>
      </c>
      <c r="P263" s="9" t="str">
        <f>IF(E263&lt;30,"&lt;30",IF(E263&lt;40,"30-39","40+"))</f>
        <v>30-39</v>
      </c>
    </row>
    <row r="264" spans="1:16" x14ac:dyDescent="0.25">
      <c r="A264" s="9" t="s">
        <v>366</v>
      </c>
      <c r="B264" s="9" t="s">
        <v>61</v>
      </c>
      <c r="C264" s="9" t="s">
        <v>178</v>
      </c>
      <c r="D264" s="9" t="s">
        <v>102</v>
      </c>
      <c r="E264" s="9">
        <v>32</v>
      </c>
      <c r="F264" s="20">
        <v>46193</v>
      </c>
      <c r="G264" s="20"/>
      <c r="H264" s="9" t="s">
        <v>51</v>
      </c>
      <c r="I264" s="21">
        <v>71400</v>
      </c>
      <c r="J264" s="9">
        <v>3</v>
      </c>
      <c r="K264" s="9">
        <v>4</v>
      </c>
      <c r="L264" s="9" t="s">
        <v>71</v>
      </c>
      <c r="M264" s="9"/>
      <c r="N264" s="9">
        <f>ROUND((IF(G264="",Analysis!$B$2,G264)-F264)/365.25,1)</f>
        <v>0.4</v>
      </c>
      <c r="O264" s="9" t="str">
        <f>IF(G264="","",YEAR(G264))</f>
        <v/>
      </c>
      <c r="P264" s="9" t="str">
        <f>IF(E264&lt;30,"&lt;30",IF(E264&lt;40,"30-39","40+"))</f>
        <v>30-39</v>
      </c>
    </row>
    <row r="265" spans="1:16" x14ac:dyDescent="0.25">
      <c r="A265" s="9" t="s">
        <v>434</v>
      </c>
      <c r="B265" s="9" t="s">
        <v>62</v>
      </c>
      <c r="C265" s="9" t="s">
        <v>150</v>
      </c>
      <c r="D265" s="9" t="s">
        <v>110</v>
      </c>
      <c r="E265" s="9">
        <v>21</v>
      </c>
      <c r="F265" s="20">
        <v>46108</v>
      </c>
      <c r="G265" s="20"/>
      <c r="H265" s="9" t="s">
        <v>51</v>
      </c>
      <c r="I265" s="21">
        <v>71500</v>
      </c>
      <c r="J265" s="9">
        <v>3</v>
      </c>
      <c r="K265" s="9">
        <v>3</v>
      </c>
      <c r="L265" s="9" t="s">
        <v>70</v>
      </c>
      <c r="M265" s="9"/>
      <c r="N265" s="9">
        <f>ROUND((IF(G265="",Analysis!$B$2,G265)-F265)/365.25,1)</f>
        <v>0.6</v>
      </c>
      <c r="O265" s="9" t="str">
        <f>IF(G265="","",YEAR(G265))</f>
        <v/>
      </c>
      <c r="P265" s="9" t="str">
        <f>IF(E265&lt;30,"&lt;30",IF(E265&lt;40,"30-39","40+"))</f>
        <v>&lt;30</v>
      </c>
    </row>
    <row r="266" spans="1:16" x14ac:dyDescent="0.25">
      <c r="A266" s="9" t="s">
        <v>684</v>
      </c>
      <c r="B266" s="9" t="s">
        <v>57</v>
      </c>
      <c r="C266" s="9" t="s">
        <v>139</v>
      </c>
      <c r="D266" s="9" t="s">
        <v>110</v>
      </c>
      <c r="E266" s="9">
        <v>27</v>
      </c>
      <c r="F266" s="20">
        <v>45419</v>
      </c>
      <c r="G266" s="20"/>
      <c r="H266" s="9" t="s">
        <v>51</v>
      </c>
      <c r="I266" s="21">
        <v>71500</v>
      </c>
      <c r="J266" s="9">
        <v>3</v>
      </c>
      <c r="K266" s="9">
        <v>2</v>
      </c>
      <c r="L266" s="9" t="s">
        <v>71</v>
      </c>
      <c r="M266" s="9"/>
      <c r="N266" s="9">
        <f>ROUND((IF(G266="",Analysis!$B$2,G266)-F266)/365.25,1)</f>
        <v>2.5</v>
      </c>
      <c r="O266" s="9" t="str">
        <f>IF(G266="","",YEAR(G266))</f>
        <v/>
      </c>
      <c r="P266" s="9" t="str">
        <f>IF(E266&lt;30,"&lt;30",IF(E266&lt;40,"30-39","40+"))</f>
        <v>&lt;30</v>
      </c>
    </row>
    <row r="267" spans="1:16" x14ac:dyDescent="0.25">
      <c r="A267" s="9" t="s">
        <v>445</v>
      </c>
      <c r="B267" s="9" t="s">
        <v>60</v>
      </c>
      <c r="C267" s="9" t="s">
        <v>191</v>
      </c>
      <c r="D267" s="9" t="s">
        <v>110</v>
      </c>
      <c r="E267" s="9">
        <v>35</v>
      </c>
      <c r="F267" s="20">
        <v>44034</v>
      </c>
      <c r="G267" s="20">
        <v>45933</v>
      </c>
      <c r="H267" s="9" t="s">
        <v>103</v>
      </c>
      <c r="I267" s="21">
        <v>71700</v>
      </c>
      <c r="J267" s="9">
        <v>3</v>
      </c>
      <c r="K267" s="9">
        <v>5</v>
      </c>
      <c r="L267" s="9" t="s">
        <v>70</v>
      </c>
      <c r="M267" s="9" t="s">
        <v>80</v>
      </c>
      <c r="N267" s="9">
        <f>ROUND((IF(G267="",Analysis!$B$2,G267)-F267)/365.25,1)</f>
        <v>5.2</v>
      </c>
      <c r="O267" s="9">
        <f>IF(G267="","",YEAR(G267))</f>
        <v>2025</v>
      </c>
      <c r="P267" s="9" t="str">
        <f>IF(E267&lt;30,"&lt;30",IF(E267&lt;40,"30-39","40+"))</f>
        <v>30-39</v>
      </c>
    </row>
    <row r="268" spans="1:16" x14ac:dyDescent="0.25">
      <c r="A268" s="9" t="s">
        <v>161</v>
      </c>
      <c r="B268" s="9" t="s">
        <v>58</v>
      </c>
      <c r="C268" s="9" t="s">
        <v>121</v>
      </c>
      <c r="D268" s="9" t="s">
        <v>102</v>
      </c>
      <c r="E268" s="9">
        <v>41</v>
      </c>
      <c r="F268" s="20">
        <v>45836</v>
      </c>
      <c r="G268" s="20"/>
      <c r="H268" s="9" t="s">
        <v>51</v>
      </c>
      <c r="I268" s="21">
        <v>71800</v>
      </c>
      <c r="J268" s="9">
        <v>3</v>
      </c>
      <c r="K268" s="9">
        <v>3</v>
      </c>
      <c r="L268" s="9" t="s">
        <v>70</v>
      </c>
      <c r="M268" s="9"/>
      <c r="N268" s="9">
        <f>ROUND((IF(G268="",Analysis!$B$2,G268)-F268)/365.25,1)</f>
        <v>1.3</v>
      </c>
      <c r="O268" s="9" t="str">
        <f>IF(G268="","",YEAR(G268))</f>
        <v/>
      </c>
      <c r="P268" s="9" t="str">
        <f>IF(E268&lt;30,"&lt;30",IF(E268&lt;40,"30-39","40+"))</f>
        <v>40+</v>
      </c>
    </row>
    <row r="269" spans="1:16" x14ac:dyDescent="0.25">
      <c r="A269" s="9" t="s">
        <v>642</v>
      </c>
      <c r="B269" s="9" t="s">
        <v>57</v>
      </c>
      <c r="C269" s="9" t="s">
        <v>112</v>
      </c>
      <c r="D269" s="9" t="s">
        <v>110</v>
      </c>
      <c r="E269" s="9">
        <v>40</v>
      </c>
      <c r="F269" s="20">
        <v>45028</v>
      </c>
      <c r="G269" s="20"/>
      <c r="H269" s="9" t="s">
        <v>51</v>
      </c>
      <c r="I269" s="21">
        <v>72200</v>
      </c>
      <c r="J269" s="9">
        <v>3</v>
      </c>
      <c r="K269" s="9">
        <v>3</v>
      </c>
      <c r="L269" s="9" t="s">
        <v>71</v>
      </c>
      <c r="M269" s="9"/>
      <c r="N269" s="9">
        <f>ROUND((IF(G269="",Analysis!$B$2,G269)-F269)/365.25,1)</f>
        <v>3.5</v>
      </c>
      <c r="O269" s="9" t="str">
        <f>IF(G269="","",YEAR(G269))</f>
        <v/>
      </c>
      <c r="P269" s="9" t="str">
        <f>IF(E269&lt;30,"&lt;30",IF(E269&lt;40,"30-39","40+"))</f>
        <v>40+</v>
      </c>
    </row>
    <row r="270" spans="1:16" x14ac:dyDescent="0.25">
      <c r="A270" s="9" t="s">
        <v>406</v>
      </c>
      <c r="B270" s="9" t="s">
        <v>57</v>
      </c>
      <c r="C270" s="9" t="s">
        <v>139</v>
      </c>
      <c r="D270" s="9" t="s">
        <v>110</v>
      </c>
      <c r="E270" s="9">
        <v>22</v>
      </c>
      <c r="F270" s="20">
        <v>45998</v>
      </c>
      <c r="G270" s="20"/>
      <c r="H270" s="9" t="s">
        <v>51</v>
      </c>
      <c r="I270" s="21">
        <v>72300</v>
      </c>
      <c r="J270" s="9">
        <v>3</v>
      </c>
      <c r="K270" s="9">
        <v>2</v>
      </c>
      <c r="L270" s="9" t="s">
        <v>70</v>
      </c>
      <c r="M270" s="9"/>
      <c r="N270" s="9">
        <f>ROUND((IF(G270="",Analysis!$B$2,G270)-F270)/365.25,1)</f>
        <v>0.9</v>
      </c>
      <c r="O270" s="9" t="str">
        <f>IF(G270="","",YEAR(G270))</f>
        <v/>
      </c>
      <c r="P270" s="9" t="str">
        <f>IF(E270&lt;30,"&lt;30",IF(E270&lt;40,"30-39","40+"))</f>
        <v>&lt;30</v>
      </c>
    </row>
    <row r="271" spans="1:16" x14ac:dyDescent="0.25">
      <c r="A271" s="9" t="s">
        <v>589</v>
      </c>
      <c r="B271" s="9" t="s">
        <v>60</v>
      </c>
      <c r="C271" s="9" t="s">
        <v>191</v>
      </c>
      <c r="D271" s="9" t="s">
        <v>110</v>
      </c>
      <c r="E271" s="9">
        <v>45</v>
      </c>
      <c r="F271" s="20">
        <v>45987</v>
      </c>
      <c r="G271" s="20">
        <v>46084</v>
      </c>
      <c r="H271" s="9" t="s">
        <v>103</v>
      </c>
      <c r="I271" s="21">
        <v>72400</v>
      </c>
      <c r="J271" s="9">
        <v>3</v>
      </c>
      <c r="K271" s="9">
        <v>3</v>
      </c>
      <c r="L271" s="9" t="s">
        <v>70</v>
      </c>
      <c r="M271" s="9" t="s">
        <v>80</v>
      </c>
      <c r="N271" s="9">
        <f>ROUND((IF(G271="",Analysis!$B$2,G271)-F271)/365.25,1)</f>
        <v>0.3</v>
      </c>
      <c r="O271" s="9">
        <f>IF(G271="","",YEAR(G271))</f>
        <v>2026</v>
      </c>
      <c r="P271" s="9" t="str">
        <f>IF(E271&lt;30,"&lt;30",IF(E271&lt;40,"30-39","40+"))</f>
        <v>40+</v>
      </c>
    </row>
    <row r="272" spans="1:16" x14ac:dyDescent="0.25">
      <c r="A272" s="9" t="s">
        <v>604</v>
      </c>
      <c r="B272" s="9" t="s">
        <v>62</v>
      </c>
      <c r="C272" s="9" t="s">
        <v>150</v>
      </c>
      <c r="D272" s="9" t="s">
        <v>102</v>
      </c>
      <c r="E272" s="9">
        <v>21</v>
      </c>
      <c r="F272" s="20">
        <v>43723</v>
      </c>
      <c r="G272" s="20"/>
      <c r="H272" s="9" t="s">
        <v>51</v>
      </c>
      <c r="I272" s="21">
        <v>72500</v>
      </c>
      <c r="J272" s="9">
        <v>3</v>
      </c>
      <c r="K272" s="9">
        <v>2</v>
      </c>
      <c r="L272" s="9" t="s">
        <v>71</v>
      </c>
      <c r="M272" s="9"/>
      <c r="N272" s="9">
        <f>ROUND((IF(G272="",Analysis!$B$2,G272)-F272)/365.25,1)</f>
        <v>7.1</v>
      </c>
      <c r="O272" s="9" t="str">
        <f>IF(G272="","",YEAR(G272))</f>
        <v/>
      </c>
      <c r="P272" s="9" t="str">
        <f>IF(E272&lt;30,"&lt;30",IF(E272&lt;40,"30-39","40+"))</f>
        <v>&lt;30</v>
      </c>
    </row>
    <row r="273" spans="1:16" x14ac:dyDescent="0.25">
      <c r="A273" s="9" t="s">
        <v>221</v>
      </c>
      <c r="B273" s="9" t="s">
        <v>58</v>
      </c>
      <c r="C273" s="9" t="s">
        <v>121</v>
      </c>
      <c r="D273" s="9" t="s">
        <v>102</v>
      </c>
      <c r="E273" s="9">
        <v>36</v>
      </c>
      <c r="F273" s="20">
        <v>45274</v>
      </c>
      <c r="G273" s="20"/>
      <c r="H273" s="9" t="s">
        <v>51</v>
      </c>
      <c r="I273" s="21">
        <v>72500</v>
      </c>
      <c r="J273" s="9">
        <v>3</v>
      </c>
      <c r="K273" s="9">
        <v>5</v>
      </c>
      <c r="L273" s="9" t="s">
        <v>71</v>
      </c>
      <c r="M273" s="9"/>
      <c r="N273" s="9">
        <f>ROUND((IF(G273="",Analysis!$B$2,G273)-F273)/365.25,1)</f>
        <v>2.9</v>
      </c>
      <c r="O273" s="9" t="str">
        <f>IF(G273="","",YEAR(G273))</f>
        <v/>
      </c>
      <c r="P273" s="9" t="str">
        <f>IF(E273&lt;30,"&lt;30",IF(E273&lt;40,"30-39","40+"))</f>
        <v>30-39</v>
      </c>
    </row>
    <row r="274" spans="1:16" x14ac:dyDescent="0.25">
      <c r="A274" s="9" t="s">
        <v>157</v>
      </c>
      <c r="B274" s="9" t="s">
        <v>58</v>
      </c>
      <c r="C274" s="9" t="s">
        <v>121</v>
      </c>
      <c r="D274" s="9" t="s">
        <v>110</v>
      </c>
      <c r="E274" s="9">
        <v>29</v>
      </c>
      <c r="F274" s="20">
        <v>43586</v>
      </c>
      <c r="G274" s="20"/>
      <c r="H274" s="9" t="s">
        <v>51</v>
      </c>
      <c r="I274" s="21">
        <v>73000</v>
      </c>
      <c r="J274" s="9">
        <v>3</v>
      </c>
      <c r="K274" s="9">
        <v>3</v>
      </c>
      <c r="L274" s="9" t="s">
        <v>70</v>
      </c>
      <c r="M274" s="9"/>
      <c r="N274" s="9">
        <f>ROUND((IF(G274="",Analysis!$B$2,G274)-F274)/365.25,1)</f>
        <v>7.5</v>
      </c>
      <c r="O274" s="9" t="str">
        <f>IF(G274="","",YEAR(G274))</f>
        <v/>
      </c>
      <c r="P274" s="9" t="str">
        <f>IF(E274&lt;30,"&lt;30",IF(E274&lt;40,"30-39","40+"))</f>
        <v>&lt;30</v>
      </c>
    </row>
    <row r="275" spans="1:16" x14ac:dyDescent="0.25">
      <c r="A275" s="9" t="s">
        <v>548</v>
      </c>
      <c r="B275" s="9" t="s">
        <v>59</v>
      </c>
      <c r="C275" s="9" t="s">
        <v>137</v>
      </c>
      <c r="D275" s="9" t="s">
        <v>110</v>
      </c>
      <c r="E275" s="9">
        <v>34</v>
      </c>
      <c r="F275" s="20">
        <v>45303</v>
      </c>
      <c r="G275" s="20"/>
      <c r="H275" s="9" t="s">
        <v>51</v>
      </c>
      <c r="I275" s="21">
        <v>73500</v>
      </c>
      <c r="J275" s="9">
        <v>3</v>
      </c>
      <c r="K275" s="9">
        <v>4</v>
      </c>
      <c r="L275" s="9" t="s">
        <v>70</v>
      </c>
      <c r="M275" s="9"/>
      <c r="N275" s="9">
        <f>ROUND((IF(G275="",Analysis!$B$2,G275)-F275)/365.25,1)</f>
        <v>2.8</v>
      </c>
      <c r="O275" s="9" t="str">
        <f>IF(G275="","",YEAR(G275))</f>
        <v/>
      </c>
      <c r="P275" s="9" t="str">
        <f>IF(E275&lt;30,"&lt;30",IF(E275&lt;40,"30-39","40+"))</f>
        <v>30-39</v>
      </c>
    </row>
    <row r="276" spans="1:16" x14ac:dyDescent="0.25">
      <c r="A276" s="9" t="s">
        <v>382</v>
      </c>
      <c r="B276" s="9" t="s">
        <v>61</v>
      </c>
      <c r="C276" s="9" t="s">
        <v>178</v>
      </c>
      <c r="D276" s="9" t="s">
        <v>110</v>
      </c>
      <c r="E276" s="9">
        <v>40</v>
      </c>
      <c r="F276" s="20">
        <v>44627</v>
      </c>
      <c r="G276" s="20"/>
      <c r="H276" s="9" t="s">
        <v>51</v>
      </c>
      <c r="I276" s="21">
        <v>74000</v>
      </c>
      <c r="J276" s="9">
        <v>3</v>
      </c>
      <c r="K276" s="9">
        <v>2</v>
      </c>
      <c r="L276" s="9" t="s">
        <v>71</v>
      </c>
      <c r="M276" s="9"/>
      <c r="N276" s="9">
        <f>ROUND((IF(G276="",Analysis!$B$2,G276)-F276)/365.25,1)</f>
        <v>4.5999999999999996</v>
      </c>
      <c r="O276" s="9" t="str">
        <f>IF(G276="","",YEAR(G276))</f>
        <v/>
      </c>
      <c r="P276" s="9" t="str">
        <f>IF(E276&lt;30,"&lt;30",IF(E276&lt;40,"30-39","40+"))</f>
        <v>40+</v>
      </c>
    </row>
    <row r="277" spans="1:16" x14ac:dyDescent="0.25">
      <c r="A277" s="9" t="s">
        <v>402</v>
      </c>
      <c r="B277" s="9" t="s">
        <v>62</v>
      </c>
      <c r="C277" s="9" t="s">
        <v>150</v>
      </c>
      <c r="D277" s="9" t="s">
        <v>102</v>
      </c>
      <c r="E277" s="9">
        <v>34</v>
      </c>
      <c r="F277" s="20">
        <v>44004</v>
      </c>
      <c r="G277" s="20">
        <v>46272</v>
      </c>
      <c r="H277" s="9" t="s">
        <v>103</v>
      </c>
      <c r="I277" s="21">
        <v>74100</v>
      </c>
      <c r="J277" s="9">
        <v>3</v>
      </c>
      <c r="K277" s="9">
        <v>3</v>
      </c>
      <c r="L277" s="9" t="s">
        <v>70</v>
      </c>
      <c r="M277" s="9" t="s">
        <v>85</v>
      </c>
      <c r="N277" s="9">
        <f>ROUND((IF(G277="",Analysis!$B$2,G277)-F277)/365.25,1)</f>
        <v>6.2</v>
      </c>
      <c r="O277" s="9">
        <f>IF(G277="","",YEAR(G277))</f>
        <v>2026</v>
      </c>
      <c r="P277" s="9" t="str">
        <f>IF(E277&lt;30,"&lt;30",IF(E277&lt;40,"30-39","40+"))</f>
        <v>30-39</v>
      </c>
    </row>
    <row r="278" spans="1:16" x14ac:dyDescent="0.25">
      <c r="A278" s="9" t="s">
        <v>166</v>
      </c>
      <c r="B278" s="9" t="s">
        <v>62</v>
      </c>
      <c r="C278" s="9" t="s">
        <v>150</v>
      </c>
      <c r="D278" s="9" t="s">
        <v>102</v>
      </c>
      <c r="E278" s="9">
        <v>37</v>
      </c>
      <c r="F278" s="20">
        <v>45372</v>
      </c>
      <c r="G278" s="20"/>
      <c r="H278" s="9" t="s">
        <v>51</v>
      </c>
      <c r="I278" s="21">
        <v>74100</v>
      </c>
      <c r="J278" s="9">
        <v>3</v>
      </c>
      <c r="K278" s="9">
        <v>3</v>
      </c>
      <c r="L278" s="9" t="s">
        <v>71</v>
      </c>
      <c r="M278" s="9"/>
      <c r="N278" s="9">
        <f>ROUND((IF(G278="",Analysis!$B$2,G278)-F278)/365.25,1)</f>
        <v>2.6</v>
      </c>
      <c r="O278" s="9" t="str">
        <f>IF(G278="","",YEAR(G278))</f>
        <v/>
      </c>
      <c r="P278" s="9" t="str">
        <f>IF(E278&lt;30,"&lt;30",IF(E278&lt;40,"30-39","40+"))</f>
        <v>30-39</v>
      </c>
    </row>
    <row r="279" spans="1:16" x14ac:dyDescent="0.25">
      <c r="A279" s="9" t="s">
        <v>387</v>
      </c>
      <c r="B279" s="9" t="s">
        <v>60</v>
      </c>
      <c r="C279" s="9" t="s">
        <v>191</v>
      </c>
      <c r="D279" s="9" t="s">
        <v>110</v>
      </c>
      <c r="E279" s="9">
        <v>25</v>
      </c>
      <c r="F279" s="20">
        <v>43828</v>
      </c>
      <c r="G279" s="20"/>
      <c r="H279" s="9" t="s">
        <v>51</v>
      </c>
      <c r="I279" s="21">
        <v>75100</v>
      </c>
      <c r="J279" s="9">
        <v>3</v>
      </c>
      <c r="K279" s="9">
        <v>3</v>
      </c>
      <c r="L279" s="9" t="s">
        <v>71</v>
      </c>
      <c r="M279" s="9"/>
      <c r="N279" s="9">
        <f>ROUND((IF(G279="",Analysis!$B$2,G279)-F279)/365.25,1)</f>
        <v>6.8</v>
      </c>
      <c r="O279" s="9" t="str">
        <f>IF(G279="","",YEAR(G279))</f>
        <v/>
      </c>
      <c r="P279" s="9" t="str">
        <f>IF(E279&lt;30,"&lt;30",IF(E279&lt;40,"30-39","40+"))</f>
        <v>&lt;30</v>
      </c>
    </row>
    <row r="280" spans="1:16" x14ac:dyDescent="0.25">
      <c r="A280" s="9" t="s">
        <v>538</v>
      </c>
      <c r="B280" s="9" t="s">
        <v>57</v>
      </c>
      <c r="C280" s="9" t="s">
        <v>139</v>
      </c>
      <c r="D280" s="9" t="s">
        <v>102</v>
      </c>
      <c r="E280" s="9">
        <v>32</v>
      </c>
      <c r="F280" s="20">
        <v>43686</v>
      </c>
      <c r="G280" s="20">
        <v>44342</v>
      </c>
      <c r="H280" s="9" t="s">
        <v>103</v>
      </c>
      <c r="I280" s="21">
        <v>75700</v>
      </c>
      <c r="J280" s="9">
        <v>3</v>
      </c>
      <c r="K280" s="9">
        <v>2</v>
      </c>
      <c r="L280" s="9" t="s">
        <v>70</v>
      </c>
      <c r="M280" s="9" t="s">
        <v>81</v>
      </c>
      <c r="N280" s="9">
        <f>ROUND((IF(G280="",Analysis!$B$2,G280)-F280)/365.25,1)</f>
        <v>1.8</v>
      </c>
      <c r="O280" s="9">
        <f>IF(G280="","",YEAR(G280))</f>
        <v>2021</v>
      </c>
      <c r="P280" s="9" t="str">
        <f>IF(E280&lt;30,"&lt;30",IF(E280&lt;40,"30-39","40+"))</f>
        <v>30-39</v>
      </c>
    </row>
    <row r="281" spans="1:16" x14ac:dyDescent="0.25">
      <c r="A281" s="9" t="s">
        <v>468</v>
      </c>
      <c r="B281" s="9" t="s">
        <v>61</v>
      </c>
      <c r="C281" s="9" t="s">
        <v>178</v>
      </c>
      <c r="D281" s="9" t="s">
        <v>110</v>
      </c>
      <c r="E281" s="9">
        <v>37</v>
      </c>
      <c r="F281" s="20">
        <v>45782</v>
      </c>
      <c r="G281" s="20"/>
      <c r="H281" s="9" t="s">
        <v>51</v>
      </c>
      <c r="I281" s="21">
        <v>75700</v>
      </c>
      <c r="J281" s="9">
        <v>3</v>
      </c>
      <c r="K281" s="9">
        <v>5</v>
      </c>
      <c r="L281" s="9" t="s">
        <v>71</v>
      </c>
      <c r="M281" s="9"/>
      <c r="N281" s="9">
        <f>ROUND((IF(G281="",Analysis!$B$2,G281)-F281)/365.25,1)</f>
        <v>1.5</v>
      </c>
      <c r="O281" s="9" t="str">
        <f>IF(G281="","",YEAR(G281))</f>
        <v/>
      </c>
      <c r="P281" s="9" t="str">
        <f>IF(E281&lt;30,"&lt;30",IF(E281&lt;40,"30-39","40+"))</f>
        <v>30-39</v>
      </c>
    </row>
    <row r="282" spans="1:16" x14ac:dyDescent="0.25">
      <c r="A282" s="9" t="s">
        <v>665</v>
      </c>
      <c r="B282" s="9" t="s">
        <v>61</v>
      </c>
      <c r="C282" s="9" t="s">
        <v>178</v>
      </c>
      <c r="D282" s="9" t="s">
        <v>110</v>
      </c>
      <c r="E282" s="9">
        <v>21</v>
      </c>
      <c r="F282" s="20">
        <v>44127</v>
      </c>
      <c r="G282" s="20"/>
      <c r="H282" s="9" t="s">
        <v>51</v>
      </c>
      <c r="I282" s="21">
        <v>76300</v>
      </c>
      <c r="J282" s="9">
        <v>3</v>
      </c>
      <c r="K282" s="9">
        <v>4</v>
      </c>
      <c r="L282" s="9" t="s">
        <v>70</v>
      </c>
      <c r="M282" s="9"/>
      <c r="N282" s="9">
        <f>ROUND((IF(G282="",Analysis!$B$2,G282)-F282)/365.25,1)</f>
        <v>6</v>
      </c>
      <c r="O282" s="9" t="str">
        <f>IF(G282="","",YEAR(G282))</f>
        <v/>
      </c>
      <c r="P282" s="9" t="str">
        <f>IF(E282&lt;30,"&lt;30",IF(E282&lt;40,"30-39","40+"))</f>
        <v>&lt;30</v>
      </c>
    </row>
    <row r="283" spans="1:16" x14ac:dyDescent="0.25">
      <c r="A283" s="9" t="s">
        <v>526</v>
      </c>
      <c r="B283" s="9" t="s">
        <v>61</v>
      </c>
      <c r="C283" s="9" t="s">
        <v>178</v>
      </c>
      <c r="D283" s="9" t="s">
        <v>110</v>
      </c>
      <c r="E283" s="9">
        <v>39</v>
      </c>
      <c r="F283" s="20">
        <v>44877</v>
      </c>
      <c r="G283" s="20"/>
      <c r="H283" s="9" t="s">
        <v>51</v>
      </c>
      <c r="I283" s="21">
        <v>76400</v>
      </c>
      <c r="J283" s="9">
        <v>3</v>
      </c>
      <c r="K283" s="9">
        <v>5</v>
      </c>
      <c r="L283" s="9" t="s">
        <v>71</v>
      </c>
      <c r="M283" s="9"/>
      <c r="N283" s="9">
        <f>ROUND((IF(G283="",Analysis!$B$2,G283)-F283)/365.25,1)</f>
        <v>4</v>
      </c>
      <c r="O283" s="9" t="str">
        <f>IF(G283="","",YEAR(G283))</f>
        <v/>
      </c>
      <c r="P283" s="9" t="str">
        <f>IF(E283&lt;30,"&lt;30",IF(E283&lt;40,"30-39","40+"))</f>
        <v>30-39</v>
      </c>
    </row>
    <row r="284" spans="1:16" x14ac:dyDescent="0.25">
      <c r="A284" s="9" t="s">
        <v>452</v>
      </c>
      <c r="B284" s="9" t="s">
        <v>60</v>
      </c>
      <c r="C284" s="9" t="s">
        <v>145</v>
      </c>
      <c r="D284" s="9" t="s">
        <v>102</v>
      </c>
      <c r="E284" s="9">
        <v>30</v>
      </c>
      <c r="F284" s="20">
        <v>45157</v>
      </c>
      <c r="G284" s="20"/>
      <c r="H284" s="9" t="s">
        <v>51</v>
      </c>
      <c r="I284" s="21">
        <v>76600</v>
      </c>
      <c r="J284" s="9">
        <v>3</v>
      </c>
      <c r="K284" s="9">
        <v>3</v>
      </c>
      <c r="L284" s="9" t="s">
        <v>71</v>
      </c>
      <c r="M284" s="9"/>
      <c r="N284" s="9">
        <f>ROUND((IF(G284="",Analysis!$B$2,G284)-F284)/365.25,1)</f>
        <v>3.2</v>
      </c>
      <c r="O284" s="9" t="str">
        <f>IF(G284="","",YEAR(G284))</f>
        <v/>
      </c>
      <c r="P284" s="9" t="str">
        <f>IF(E284&lt;30,"&lt;30",IF(E284&lt;40,"30-39","40+"))</f>
        <v>30-39</v>
      </c>
    </row>
    <row r="285" spans="1:16" x14ac:dyDescent="0.25">
      <c r="A285" s="9" t="s">
        <v>270</v>
      </c>
      <c r="B285" s="9" t="s">
        <v>60</v>
      </c>
      <c r="C285" s="9" t="s">
        <v>145</v>
      </c>
      <c r="D285" s="9" t="s">
        <v>102</v>
      </c>
      <c r="E285" s="9">
        <v>40</v>
      </c>
      <c r="F285" s="20">
        <v>43968</v>
      </c>
      <c r="G285" s="20"/>
      <c r="H285" s="9" t="s">
        <v>51</v>
      </c>
      <c r="I285" s="21">
        <v>76600</v>
      </c>
      <c r="J285" s="9">
        <v>3</v>
      </c>
      <c r="K285" s="9">
        <v>2</v>
      </c>
      <c r="L285" s="9" t="s">
        <v>71</v>
      </c>
      <c r="M285" s="9"/>
      <c r="N285" s="9">
        <f>ROUND((IF(G285="",Analysis!$B$2,G285)-F285)/365.25,1)</f>
        <v>6.4</v>
      </c>
      <c r="O285" s="9" t="str">
        <f>IF(G285="","",YEAR(G285))</f>
        <v/>
      </c>
      <c r="P285" s="9" t="str">
        <f>IF(E285&lt;30,"&lt;30",IF(E285&lt;40,"30-39","40+"))</f>
        <v>40+</v>
      </c>
    </row>
    <row r="286" spans="1:16" x14ac:dyDescent="0.25">
      <c r="A286" s="9" t="s">
        <v>634</v>
      </c>
      <c r="B286" s="9" t="s">
        <v>60</v>
      </c>
      <c r="C286" s="9" t="s">
        <v>191</v>
      </c>
      <c r="D286" s="9" t="s">
        <v>110</v>
      </c>
      <c r="E286" s="9">
        <v>33</v>
      </c>
      <c r="F286" s="20">
        <v>46020</v>
      </c>
      <c r="G286" s="20"/>
      <c r="H286" s="9" t="s">
        <v>51</v>
      </c>
      <c r="I286" s="21">
        <v>77500</v>
      </c>
      <c r="J286" s="9">
        <v>3</v>
      </c>
      <c r="K286" s="9">
        <v>4</v>
      </c>
      <c r="L286" s="9" t="s">
        <v>71</v>
      </c>
      <c r="M286" s="9"/>
      <c r="N286" s="9">
        <f>ROUND((IF(G286="",Analysis!$B$2,G286)-F286)/365.25,1)</f>
        <v>0.8</v>
      </c>
      <c r="O286" s="9" t="str">
        <f>IF(G286="","",YEAR(G286))</f>
        <v/>
      </c>
      <c r="P286" s="9" t="str">
        <f>IF(E286&lt;30,"&lt;30",IF(E286&lt;40,"30-39","40+"))</f>
        <v>30-39</v>
      </c>
    </row>
    <row r="287" spans="1:16" x14ac:dyDescent="0.25">
      <c r="A287" s="9" t="s">
        <v>590</v>
      </c>
      <c r="B287" s="9" t="s">
        <v>57</v>
      </c>
      <c r="C287" s="9" t="s">
        <v>139</v>
      </c>
      <c r="D287" s="9" t="s">
        <v>102</v>
      </c>
      <c r="E287" s="9">
        <v>27</v>
      </c>
      <c r="F287" s="20">
        <v>44216</v>
      </c>
      <c r="G287" s="20"/>
      <c r="H287" s="9" t="s">
        <v>51</v>
      </c>
      <c r="I287" s="21">
        <v>78100</v>
      </c>
      <c r="J287" s="9">
        <v>3</v>
      </c>
      <c r="K287" s="9">
        <v>2</v>
      </c>
      <c r="L287" s="9" t="s">
        <v>70</v>
      </c>
      <c r="M287" s="9"/>
      <c r="N287" s="9">
        <f>ROUND((IF(G287="",Analysis!$B$2,G287)-F287)/365.25,1)</f>
        <v>5.8</v>
      </c>
      <c r="O287" s="9" t="str">
        <f>IF(G287="","",YEAR(G287))</f>
        <v/>
      </c>
      <c r="P287" s="9" t="str">
        <f>IF(E287&lt;30,"&lt;30",IF(E287&lt;40,"30-39","40+"))</f>
        <v>&lt;30</v>
      </c>
    </row>
    <row r="288" spans="1:16" x14ac:dyDescent="0.25">
      <c r="A288" s="9" t="s">
        <v>401</v>
      </c>
      <c r="B288" s="9" t="s">
        <v>57</v>
      </c>
      <c r="C288" s="9" t="s">
        <v>139</v>
      </c>
      <c r="D288" s="9" t="s">
        <v>110</v>
      </c>
      <c r="E288" s="9">
        <v>29</v>
      </c>
      <c r="F288" s="20">
        <v>43111</v>
      </c>
      <c r="G288" s="20">
        <v>45407</v>
      </c>
      <c r="H288" s="9" t="s">
        <v>103</v>
      </c>
      <c r="I288" s="21">
        <v>78100</v>
      </c>
      <c r="J288" s="9">
        <v>3</v>
      </c>
      <c r="K288" s="9">
        <v>3</v>
      </c>
      <c r="L288" s="9" t="s">
        <v>70</v>
      </c>
      <c r="M288" s="9" t="s">
        <v>82</v>
      </c>
      <c r="N288" s="9">
        <f>ROUND((IF(G288="",Analysis!$B$2,G288)-F288)/365.25,1)</f>
        <v>6.3</v>
      </c>
      <c r="O288" s="9">
        <f>IF(G288="","",YEAR(G288))</f>
        <v>2024</v>
      </c>
      <c r="P288" s="9" t="str">
        <f>IF(E288&lt;30,"&lt;30",IF(E288&lt;40,"30-39","40+"))</f>
        <v>&lt;30</v>
      </c>
    </row>
    <row r="289" spans="1:16" x14ac:dyDescent="0.25">
      <c r="A289" s="9" t="s">
        <v>607</v>
      </c>
      <c r="B289" s="9" t="s">
        <v>63</v>
      </c>
      <c r="C289" s="9" t="s">
        <v>105</v>
      </c>
      <c r="D289" s="9" t="s">
        <v>102</v>
      </c>
      <c r="E289" s="9">
        <v>36</v>
      </c>
      <c r="F289" s="20">
        <v>44143</v>
      </c>
      <c r="G289" s="20">
        <v>45598</v>
      </c>
      <c r="H289" s="9" t="s">
        <v>103</v>
      </c>
      <c r="I289" s="21">
        <v>78500</v>
      </c>
      <c r="J289" s="9">
        <v>3</v>
      </c>
      <c r="K289" s="9">
        <v>3</v>
      </c>
      <c r="L289" s="9" t="s">
        <v>71</v>
      </c>
      <c r="M289" s="9" t="s">
        <v>81</v>
      </c>
      <c r="N289" s="9">
        <f>ROUND((IF(G289="",Analysis!$B$2,G289)-F289)/365.25,1)</f>
        <v>4</v>
      </c>
      <c r="O289" s="9">
        <f>IF(G289="","",YEAR(G289))</f>
        <v>2024</v>
      </c>
      <c r="P289" s="9" t="str">
        <f>IF(E289&lt;30,"&lt;30",IF(E289&lt;40,"30-39","40+"))</f>
        <v>30-39</v>
      </c>
    </row>
    <row r="290" spans="1:16" x14ac:dyDescent="0.25">
      <c r="A290" s="9" t="s">
        <v>626</v>
      </c>
      <c r="B290" s="9" t="s">
        <v>61</v>
      </c>
      <c r="C290" s="9" t="s">
        <v>178</v>
      </c>
      <c r="D290" s="9" t="s">
        <v>102</v>
      </c>
      <c r="E290" s="9">
        <v>30</v>
      </c>
      <c r="F290" s="20">
        <v>44752</v>
      </c>
      <c r="G290" s="20">
        <v>45860</v>
      </c>
      <c r="H290" s="9" t="s">
        <v>103</v>
      </c>
      <c r="I290" s="21">
        <v>78800</v>
      </c>
      <c r="J290" s="9">
        <v>3</v>
      </c>
      <c r="K290" s="9">
        <v>1</v>
      </c>
      <c r="L290" s="9" t="s">
        <v>71</v>
      </c>
      <c r="M290" s="9" t="s">
        <v>81</v>
      </c>
      <c r="N290" s="9">
        <f>ROUND((IF(G290="",Analysis!$B$2,G290)-F290)/365.25,1)</f>
        <v>3</v>
      </c>
      <c r="O290" s="9">
        <f>IF(G290="","",YEAR(G290))</f>
        <v>2025</v>
      </c>
      <c r="P290" s="9" t="str">
        <f>IF(E290&lt;30,"&lt;30",IF(E290&lt;40,"30-39","40+"))</f>
        <v>30-39</v>
      </c>
    </row>
    <row r="291" spans="1:16" x14ac:dyDescent="0.25">
      <c r="A291" s="9" t="s">
        <v>682</v>
      </c>
      <c r="B291" s="9" t="s">
        <v>61</v>
      </c>
      <c r="C291" s="9" t="s">
        <v>178</v>
      </c>
      <c r="D291" s="9" t="s">
        <v>110</v>
      </c>
      <c r="E291" s="9">
        <v>33</v>
      </c>
      <c r="F291" s="20">
        <v>43830</v>
      </c>
      <c r="G291" s="20"/>
      <c r="H291" s="9" t="s">
        <v>51</v>
      </c>
      <c r="I291" s="21">
        <v>78900</v>
      </c>
      <c r="J291" s="9">
        <v>3</v>
      </c>
      <c r="K291" s="9">
        <v>4</v>
      </c>
      <c r="L291" s="9" t="s">
        <v>71</v>
      </c>
      <c r="M291" s="9"/>
      <c r="N291" s="9">
        <f>ROUND((IF(G291="",Analysis!$B$2,G291)-F291)/365.25,1)</f>
        <v>6.8</v>
      </c>
      <c r="O291" s="9" t="str">
        <f>IF(G291="","",YEAR(G291))</f>
        <v/>
      </c>
      <c r="P291" s="9" t="str">
        <f>IF(E291&lt;30,"&lt;30",IF(E291&lt;40,"30-39","40+"))</f>
        <v>30-39</v>
      </c>
    </row>
    <row r="292" spans="1:16" x14ac:dyDescent="0.25">
      <c r="A292" s="9" t="s">
        <v>614</v>
      </c>
      <c r="B292" s="9" t="s">
        <v>63</v>
      </c>
      <c r="C292" s="9" t="s">
        <v>105</v>
      </c>
      <c r="D292" s="9" t="s">
        <v>110</v>
      </c>
      <c r="E292" s="9">
        <v>28</v>
      </c>
      <c r="F292" s="20">
        <v>44074</v>
      </c>
      <c r="G292" s="20"/>
      <c r="H292" s="9" t="s">
        <v>51</v>
      </c>
      <c r="I292" s="21">
        <v>79000</v>
      </c>
      <c r="J292" s="9">
        <v>3</v>
      </c>
      <c r="K292" s="9">
        <v>4</v>
      </c>
      <c r="L292" s="9" t="s">
        <v>71</v>
      </c>
      <c r="M292" s="9"/>
      <c r="N292" s="9">
        <f>ROUND((IF(G292="",Analysis!$B$2,G292)-F292)/365.25,1)</f>
        <v>6.2</v>
      </c>
      <c r="O292" s="9" t="str">
        <f>IF(G292="","",YEAR(G292))</f>
        <v/>
      </c>
      <c r="P292" s="9" t="str">
        <f>IF(E292&lt;30,"&lt;30",IF(E292&lt;40,"30-39","40+"))</f>
        <v>&lt;30</v>
      </c>
    </row>
    <row r="293" spans="1:16" x14ac:dyDescent="0.25">
      <c r="A293" s="9" t="s">
        <v>561</v>
      </c>
      <c r="B293" s="9" t="s">
        <v>59</v>
      </c>
      <c r="C293" s="9" t="s">
        <v>137</v>
      </c>
      <c r="D293" s="9" t="s">
        <v>102</v>
      </c>
      <c r="E293" s="9">
        <v>33</v>
      </c>
      <c r="F293" s="20">
        <v>44803</v>
      </c>
      <c r="G293" s="20"/>
      <c r="H293" s="9" t="s">
        <v>51</v>
      </c>
      <c r="I293" s="21">
        <v>79000</v>
      </c>
      <c r="J293" s="9">
        <v>3</v>
      </c>
      <c r="K293" s="9">
        <v>3</v>
      </c>
      <c r="L293" s="9" t="s">
        <v>71</v>
      </c>
      <c r="M293" s="9"/>
      <c r="N293" s="9">
        <f>ROUND((IF(G293="",Analysis!$B$2,G293)-F293)/365.25,1)</f>
        <v>4.2</v>
      </c>
      <c r="O293" s="9" t="str">
        <f>IF(G293="","",YEAR(G293))</f>
        <v/>
      </c>
      <c r="P293" s="9" t="str">
        <f>IF(E293&lt;30,"&lt;30",IF(E293&lt;40,"30-39","40+"))</f>
        <v>30-39</v>
      </c>
    </row>
    <row r="294" spans="1:16" x14ac:dyDescent="0.25">
      <c r="A294" s="9" t="s">
        <v>656</v>
      </c>
      <c r="B294" s="9" t="s">
        <v>62</v>
      </c>
      <c r="C294" s="9" t="s">
        <v>150</v>
      </c>
      <c r="D294" s="9" t="s">
        <v>102</v>
      </c>
      <c r="E294" s="9">
        <v>36</v>
      </c>
      <c r="F294" s="20">
        <v>44711</v>
      </c>
      <c r="G294" s="20"/>
      <c r="H294" s="9" t="s">
        <v>51</v>
      </c>
      <c r="I294" s="21">
        <v>79100</v>
      </c>
      <c r="J294" s="9">
        <v>3</v>
      </c>
      <c r="K294" s="9">
        <v>3</v>
      </c>
      <c r="L294" s="9" t="s">
        <v>71</v>
      </c>
      <c r="M294" s="9"/>
      <c r="N294" s="9">
        <f>ROUND((IF(G294="",Analysis!$B$2,G294)-F294)/365.25,1)</f>
        <v>4.4000000000000004</v>
      </c>
      <c r="O294" s="9" t="str">
        <f>IF(G294="","",YEAR(G294))</f>
        <v/>
      </c>
      <c r="P294" s="9" t="str">
        <f>IF(E294&lt;30,"&lt;30",IF(E294&lt;40,"30-39","40+"))</f>
        <v>30-39</v>
      </c>
    </row>
    <row r="295" spans="1:16" x14ac:dyDescent="0.25">
      <c r="A295" s="9" t="s">
        <v>268</v>
      </c>
      <c r="B295" s="9" t="s">
        <v>62</v>
      </c>
      <c r="C295" s="9" t="s">
        <v>150</v>
      </c>
      <c r="D295" s="9" t="s">
        <v>102</v>
      </c>
      <c r="E295" s="9">
        <v>36</v>
      </c>
      <c r="F295" s="20">
        <v>45591</v>
      </c>
      <c r="G295" s="20"/>
      <c r="H295" s="9" t="s">
        <v>51</v>
      </c>
      <c r="I295" s="21">
        <v>80200</v>
      </c>
      <c r="J295" s="9">
        <v>3</v>
      </c>
      <c r="K295" s="9">
        <v>3</v>
      </c>
      <c r="L295" s="9" t="s">
        <v>71</v>
      </c>
      <c r="M295" s="9"/>
      <c r="N295" s="9">
        <f>ROUND((IF(G295="",Analysis!$B$2,G295)-F295)/365.25,1)</f>
        <v>2</v>
      </c>
      <c r="O295" s="9" t="str">
        <f>IF(G295="","",YEAR(G295))</f>
        <v/>
      </c>
      <c r="P295" s="9" t="str">
        <f>IF(E295&lt;30,"&lt;30",IF(E295&lt;40,"30-39","40+"))</f>
        <v>30-39</v>
      </c>
    </row>
    <row r="296" spans="1:16" x14ac:dyDescent="0.25">
      <c r="A296" s="9" t="s">
        <v>662</v>
      </c>
      <c r="B296" s="9" t="s">
        <v>57</v>
      </c>
      <c r="C296" s="9" t="s">
        <v>139</v>
      </c>
      <c r="D296" s="9" t="s">
        <v>110</v>
      </c>
      <c r="E296" s="9">
        <v>25</v>
      </c>
      <c r="F296" s="20">
        <v>43482</v>
      </c>
      <c r="G296" s="20"/>
      <c r="H296" s="9" t="s">
        <v>51</v>
      </c>
      <c r="I296" s="21">
        <v>80600</v>
      </c>
      <c r="J296" s="9">
        <v>3</v>
      </c>
      <c r="K296" s="9">
        <v>3</v>
      </c>
      <c r="L296" s="9" t="s">
        <v>70</v>
      </c>
      <c r="M296" s="9"/>
      <c r="N296" s="9">
        <f>ROUND((IF(G296="",Analysis!$B$2,G296)-F296)/365.25,1)</f>
        <v>7.8</v>
      </c>
      <c r="O296" s="9" t="str">
        <f>IF(G296="","",YEAR(G296))</f>
        <v/>
      </c>
      <c r="P296" s="9" t="str">
        <f>IF(E296&lt;30,"&lt;30",IF(E296&lt;40,"30-39","40+"))</f>
        <v>&lt;30</v>
      </c>
    </row>
    <row r="297" spans="1:16" x14ac:dyDescent="0.25">
      <c r="A297" s="9" t="s">
        <v>475</v>
      </c>
      <c r="B297" s="9" t="s">
        <v>57</v>
      </c>
      <c r="C297" s="9" t="s">
        <v>139</v>
      </c>
      <c r="D297" s="9" t="s">
        <v>102</v>
      </c>
      <c r="E297" s="9">
        <v>26</v>
      </c>
      <c r="F297" s="20">
        <v>44281</v>
      </c>
      <c r="G297" s="20"/>
      <c r="H297" s="9" t="s">
        <v>51</v>
      </c>
      <c r="I297" s="21">
        <v>80800</v>
      </c>
      <c r="J297" s="9">
        <v>3</v>
      </c>
      <c r="K297" s="9">
        <v>4</v>
      </c>
      <c r="L297" s="9" t="s">
        <v>71</v>
      </c>
      <c r="M297" s="9"/>
      <c r="N297" s="9">
        <f>ROUND((IF(G297="",Analysis!$B$2,G297)-F297)/365.25,1)</f>
        <v>5.6</v>
      </c>
      <c r="O297" s="9" t="str">
        <f>IF(G297="","",YEAR(G297))</f>
        <v/>
      </c>
      <c r="P297" s="9" t="str">
        <f>IF(E297&lt;30,"&lt;30",IF(E297&lt;40,"30-39","40+"))</f>
        <v>&lt;30</v>
      </c>
    </row>
    <row r="298" spans="1:16" x14ac:dyDescent="0.25">
      <c r="A298" s="9" t="s">
        <v>666</v>
      </c>
      <c r="B298" s="9" t="s">
        <v>57</v>
      </c>
      <c r="C298" s="9" t="s">
        <v>139</v>
      </c>
      <c r="D298" s="9" t="s">
        <v>110</v>
      </c>
      <c r="E298" s="9">
        <v>37</v>
      </c>
      <c r="F298" s="20">
        <v>43987</v>
      </c>
      <c r="G298" s="20"/>
      <c r="H298" s="9" t="s">
        <v>51</v>
      </c>
      <c r="I298" s="21">
        <v>81000</v>
      </c>
      <c r="J298" s="9">
        <v>3</v>
      </c>
      <c r="K298" s="9">
        <v>3</v>
      </c>
      <c r="L298" s="9" t="s">
        <v>71</v>
      </c>
      <c r="M298" s="9"/>
      <c r="N298" s="9">
        <f>ROUND((IF(G298="",Analysis!$B$2,G298)-F298)/365.25,1)</f>
        <v>6.4</v>
      </c>
      <c r="O298" s="9" t="str">
        <f>IF(G298="","",YEAR(G298))</f>
        <v/>
      </c>
      <c r="P298" s="9" t="str">
        <f>IF(E298&lt;30,"&lt;30",IF(E298&lt;40,"30-39","40+"))</f>
        <v>30-39</v>
      </c>
    </row>
    <row r="299" spans="1:16" x14ac:dyDescent="0.25">
      <c r="A299" s="9" t="s">
        <v>635</v>
      </c>
      <c r="B299" s="9" t="s">
        <v>60</v>
      </c>
      <c r="C299" s="9" t="s">
        <v>145</v>
      </c>
      <c r="D299" s="9" t="s">
        <v>102</v>
      </c>
      <c r="E299" s="9">
        <v>38</v>
      </c>
      <c r="F299" s="20">
        <v>44556</v>
      </c>
      <c r="G299" s="20"/>
      <c r="H299" s="9" t="s">
        <v>51</v>
      </c>
      <c r="I299" s="21">
        <v>81000</v>
      </c>
      <c r="J299" s="9">
        <v>3</v>
      </c>
      <c r="K299" s="9">
        <v>5</v>
      </c>
      <c r="L299" s="9" t="s">
        <v>70</v>
      </c>
      <c r="M299" s="9"/>
      <c r="N299" s="9">
        <f>ROUND((IF(G299="",Analysis!$B$2,G299)-F299)/365.25,1)</f>
        <v>4.8</v>
      </c>
      <c r="O299" s="9" t="str">
        <f>IF(G299="","",YEAR(G299))</f>
        <v/>
      </c>
      <c r="P299" s="9" t="str">
        <f>IF(E299&lt;30,"&lt;30",IF(E299&lt;40,"30-39","40+"))</f>
        <v>30-39</v>
      </c>
    </row>
    <row r="300" spans="1:16" x14ac:dyDescent="0.25">
      <c r="A300" s="9" t="s">
        <v>171</v>
      </c>
      <c r="B300" s="9" t="s">
        <v>57</v>
      </c>
      <c r="C300" s="9" t="s">
        <v>139</v>
      </c>
      <c r="D300" s="9" t="s">
        <v>102</v>
      </c>
      <c r="E300" s="9">
        <v>36</v>
      </c>
      <c r="F300" s="20">
        <v>45345</v>
      </c>
      <c r="G300" s="20"/>
      <c r="H300" s="9" t="s">
        <v>51</v>
      </c>
      <c r="I300" s="21">
        <v>81300</v>
      </c>
      <c r="J300" s="9">
        <v>3</v>
      </c>
      <c r="K300" s="9">
        <v>3</v>
      </c>
      <c r="L300" s="9" t="s">
        <v>71</v>
      </c>
      <c r="M300" s="9"/>
      <c r="N300" s="9">
        <f>ROUND((IF(G300="",Analysis!$B$2,G300)-F300)/365.25,1)</f>
        <v>2.7</v>
      </c>
      <c r="O300" s="9" t="str">
        <f>IF(G300="","",YEAR(G300))</f>
        <v/>
      </c>
      <c r="P300" s="9" t="str">
        <f>IF(E300&lt;30,"&lt;30",IF(E300&lt;40,"30-39","40+"))</f>
        <v>30-39</v>
      </c>
    </row>
    <row r="301" spans="1:16" x14ac:dyDescent="0.25">
      <c r="A301" s="9" t="s">
        <v>346</v>
      </c>
      <c r="B301" s="9" t="s">
        <v>59</v>
      </c>
      <c r="C301" s="9" t="s">
        <v>137</v>
      </c>
      <c r="D301" s="9" t="s">
        <v>102</v>
      </c>
      <c r="E301" s="9">
        <v>21</v>
      </c>
      <c r="F301" s="20">
        <v>46101</v>
      </c>
      <c r="G301" s="20">
        <v>46279</v>
      </c>
      <c r="H301" s="9" t="s">
        <v>103</v>
      </c>
      <c r="I301" s="21">
        <v>82300</v>
      </c>
      <c r="J301" s="9">
        <v>3</v>
      </c>
      <c r="K301" s="9">
        <v>4</v>
      </c>
      <c r="L301" s="9" t="s">
        <v>71</v>
      </c>
      <c r="M301" s="9" t="s">
        <v>84</v>
      </c>
      <c r="N301" s="9">
        <f>ROUND((IF(G301="",Analysis!$B$2,G301)-F301)/365.25,1)</f>
        <v>0.5</v>
      </c>
      <c r="O301" s="9">
        <f>IF(G301="","",YEAR(G301))</f>
        <v>2026</v>
      </c>
      <c r="P301" s="9" t="str">
        <f>IF(E301&lt;30,"&lt;30",IF(E301&lt;40,"30-39","40+"))</f>
        <v>&lt;30</v>
      </c>
    </row>
    <row r="302" spans="1:16" x14ac:dyDescent="0.25">
      <c r="A302" s="9" t="s">
        <v>539</v>
      </c>
      <c r="B302" s="9" t="s">
        <v>59</v>
      </c>
      <c r="C302" s="9" t="s">
        <v>107</v>
      </c>
      <c r="D302" s="9" t="s">
        <v>110</v>
      </c>
      <c r="E302" s="9">
        <v>32</v>
      </c>
      <c r="F302" s="20">
        <v>45443</v>
      </c>
      <c r="G302" s="20"/>
      <c r="H302" s="9" t="s">
        <v>51</v>
      </c>
      <c r="I302" s="21">
        <v>82400</v>
      </c>
      <c r="J302" s="9">
        <v>3</v>
      </c>
      <c r="K302" s="9">
        <v>4</v>
      </c>
      <c r="L302" s="9" t="s">
        <v>71</v>
      </c>
      <c r="M302" s="9"/>
      <c r="N302" s="9">
        <f>ROUND((IF(G302="",Analysis!$B$2,G302)-F302)/365.25,1)</f>
        <v>2.4</v>
      </c>
      <c r="O302" s="9" t="str">
        <f>IF(G302="","",YEAR(G302))</f>
        <v/>
      </c>
      <c r="P302" s="9" t="str">
        <f>IF(E302&lt;30,"&lt;30",IF(E302&lt;40,"30-39","40+"))</f>
        <v>30-39</v>
      </c>
    </row>
    <row r="303" spans="1:16" x14ac:dyDescent="0.25">
      <c r="A303" s="9" t="s">
        <v>421</v>
      </c>
      <c r="B303" s="9" t="s">
        <v>59</v>
      </c>
      <c r="C303" s="9" t="s">
        <v>107</v>
      </c>
      <c r="D303" s="9" t="s">
        <v>102</v>
      </c>
      <c r="E303" s="9">
        <v>40</v>
      </c>
      <c r="F303" s="20">
        <v>45971</v>
      </c>
      <c r="G303" s="20"/>
      <c r="H303" s="9" t="s">
        <v>51</v>
      </c>
      <c r="I303" s="21">
        <v>82800</v>
      </c>
      <c r="J303" s="9">
        <v>3</v>
      </c>
      <c r="K303" s="9">
        <v>3</v>
      </c>
      <c r="L303" s="9" t="s">
        <v>71</v>
      </c>
      <c r="M303" s="9"/>
      <c r="N303" s="9">
        <f>ROUND((IF(G303="",Analysis!$B$2,G303)-F303)/365.25,1)</f>
        <v>1</v>
      </c>
      <c r="O303" s="9" t="str">
        <f>IF(G303="","",YEAR(G303))</f>
        <v/>
      </c>
      <c r="P303" s="9" t="str">
        <f>IF(E303&lt;30,"&lt;30",IF(E303&lt;40,"30-39","40+"))</f>
        <v>40+</v>
      </c>
    </row>
    <row r="304" spans="1:16" x14ac:dyDescent="0.25">
      <c r="A304" s="9" t="s">
        <v>386</v>
      </c>
      <c r="B304" s="9" t="s">
        <v>57</v>
      </c>
      <c r="C304" s="9" t="s">
        <v>139</v>
      </c>
      <c r="D304" s="9" t="s">
        <v>110</v>
      </c>
      <c r="E304" s="9">
        <v>48</v>
      </c>
      <c r="F304" s="20">
        <v>45352</v>
      </c>
      <c r="G304" s="20"/>
      <c r="H304" s="9" t="s">
        <v>51</v>
      </c>
      <c r="I304" s="21">
        <v>83500</v>
      </c>
      <c r="J304" s="9">
        <v>3</v>
      </c>
      <c r="K304" s="9">
        <v>3</v>
      </c>
      <c r="L304" s="9" t="s">
        <v>70</v>
      </c>
      <c r="M304" s="9"/>
      <c r="N304" s="9">
        <f>ROUND((IF(G304="",Analysis!$B$2,G304)-F304)/365.25,1)</f>
        <v>2.7</v>
      </c>
      <c r="O304" s="9" t="str">
        <f>IF(G304="","",YEAR(G304))</f>
        <v/>
      </c>
      <c r="P304" s="9" t="str">
        <f>IF(E304&lt;30,"&lt;30",IF(E304&lt;40,"30-39","40+"))</f>
        <v>40+</v>
      </c>
    </row>
    <row r="305" spans="1:16" x14ac:dyDescent="0.25">
      <c r="A305" s="9" t="s">
        <v>334</v>
      </c>
      <c r="B305" s="9" t="s">
        <v>63</v>
      </c>
      <c r="C305" s="9" t="s">
        <v>181</v>
      </c>
      <c r="D305" s="9" t="s">
        <v>102</v>
      </c>
      <c r="E305" s="9">
        <v>32</v>
      </c>
      <c r="F305" s="20">
        <v>45512</v>
      </c>
      <c r="G305" s="20"/>
      <c r="H305" s="9" t="s">
        <v>51</v>
      </c>
      <c r="I305" s="21">
        <v>83700</v>
      </c>
      <c r="J305" s="9">
        <v>3</v>
      </c>
      <c r="K305" s="9">
        <v>3</v>
      </c>
      <c r="L305" s="9" t="s">
        <v>71</v>
      </c>
      <c r="M305" s="9"/>
      <c r="N305" s="9">
        <f>ROUND((IF(G305="",Analysis!$B$2,G305)-F305)/365.25,1)</f>
        <v>2.2000000000000002</v>
      </c>
      <c r="O305" s="9" t="str">
        <f>IF(G305="","",YEAR(G305))</f>
        <v/>
      </c>
      <c r="P305" s="9" t="str">
        <f>IF(E305&lt;30,"&lt;30",IF(E305&lt;40,"30-39","40+"))</f>
        <v>30-39</v>
      </c>
    </row>
    <row r="306" spans="1:16" x14ac:dyDescent="0.25">
      <c r="A306" s="9" t="s">
        <v>514</v>
      </c>
      <c r="B306" s="9" t="s">
        <v>63</v>
      </c>
      <c r="C306" s="9" t="s">
        <v>105</v>
      </c>
      <c r="D306" s="9" t="s">
        <v>102</v>
      </c>
      <c r="E306" s="9">
        <v>32</v>
      </c>
      <c r="F306" s="20">
        <v>45118</v>
      </c>
      <c r="G306" s="20">
        <v>45257</v>
      </c>
      <c r="H306" s="9" t="s">
        <v>103</v>
      </c>
      <c r="I306" s="21">
        <v>83700</v>
      </c>
      <c r="J306" s="9">
        <v>3</v>
      </c>
      <c r="K306" s="9">
        <v>5</v>
      </c>
      <c r="L306" s="9" t="s">
        <v>71</v>
      </c>
      <c r="M306" s="9" t="s">
        <v>82</v>
      </c>
      <c r="N306" s="9">
        <f>ROUND((IF(G306="",Analysis!$B$2,G306)-F306)/365.25,1)</f>
        <v>0.4</v>
      </c>
      <c r="O306" s="9">
        <f>IF(G306="","",YEAR(G306))</f>
        <v>2023</v>
      </c>
      <c r="P306" s="9" t="str">
        <f>IF(E306&lt;30,"&lt;30",IF(E306&lt;40,"30-39","40+"))</f>
        <v>30-39</v>
      </c>
    </row>
    <row r="307" spans="1:16" x14ac:dyDescent="0.25">
      <c r="A307" s="9" t="s">
        <v>621</v>
      </c>
      <c r="B307" s="9" t="s">
        <v>57</v>
      </c>
      <c r="C307" s="9" t="s">
        <v>139</v>
      </c>
      <c r="D307" s="9" t="s">
        <v>110</v>
      </c>
      <c r="E307" s="9">
        <v>35</v>
      </c>
      <c r="F307" s="20">
        <v>44053</v>
      </c>
      <c r="G307" s="20"/>
      <c r="H307" s="9" t="s">
        <v>51</v>
      </c>
      <c r="I307" s="21">
        <v>83800</v>
      </c>
      <c r="J307" s="9">
        <v>3</v>
      </c>
      <c r="K307" s="9">
        <v>1</v>
      </c>
      <c r="L307" s="9" t="s">
        <v>71</v>
      </c>
      <c r="M307" s="9"/>
      <c r="N307" s="9">
        <f>ROUND((IF(G307="",Analysis!$B$2,G307)-F307)/365.25,1)</f>
        <v>6.2</v>
      </c>
      <c r="O307" s="9" t="str">
        <f>IF(G307="","",YEAR(G307))</f>
        <v/>
      </c>
      <c r="P307" s="9" t="str">
        <f>IF(E307&lt;30,"&lt;30",IF(E307&lt;40,"30-39","40+"))</f>
        <v>30-39</v>
      </c>
    </row>
    <row r="308" spans="1:16" x14ac:dyDescent="0.25">
      <c r="A308" s="9" t="s">
        <v>153</v>
      </c>
      <c r="B308" s="9" t="s">
        <v>61</v>
      </c>
      <c r="C308" s="9" t="s">
        <v>114</v>
      </c>
      <c r="D308" s="9" t="s">
        <v>102</v>
      </c>
      <c r="E308" s="9">
        <v>41</v>
      </c>
      <c r="F308" s="20">
        <v>43700</v>
      </c>
      <c r="G308" s="20"/>
      <c r="H308" s="9" t="s">
        <v>51</v>
      </c>
      <c r="I308" s="21">
        <v>84900</v>
      </c>
      <c r="J308" s="9">
        <v>3</v>
      </c>
      <c r="K308" s="9">
        <v>4</v>
      </c>
      <c r="L308" s="9" t="s">
        <v>71</v>
      </c>
      <c r="M308" s="9"/>
      <c r="N308" s="9">
        <f>ROUND((IF(G308="",Analysis!$B$2,G308)-F308)/365.25,1)</f>
        <v>7.2</v>
      </c>
      <c r="O308" s="9" t="str">
        <f>IF(G308="","",YEAR(G308))</f>
        <v/>
      </c>
      <c r="P308" s="9" t="str">
        <f>IF(E308&lt;30,"&lt;30",IF(E308&lt;40,"30-39","40+"))</f>
        <v>40+</v>
      </c>
    </row>
    <row r="309" spans="1:16" x14ac:dyDescent="0.25">
      <c r="A309" s="9" t="s">
        <v>458</v>
      </c>
      <c r="B309" s="9" t="s">
        <v>61</v>
      </c>
      <c r="C309" s="9" t="s">
        <v>114</v>
      </c>
      <c r="D309" s="9" t="s">
        <v>193</v>
      </c>
      <c r="E309" s="9">
        <v>31</v>
      </c>
      <c r="F309" s="20">
        <v>45094</v>
      </c>
      <c r="G309" s="20">
        <v>46285</v>
      </c>
      <c r="H309" s="9" t="s">
        <v>103</v>
      </c>
      <c r="I309" s="21">
        <v>86700</v>
      </c>
      <c r="J309" s="9">
        <v>3</v>
      </c>
      <c r="K309" s="9">
        <v>5</v>
      </c>
      <c r="L309" s="9" t="s">
        <v>70</v>
      </c>
      <c r="M309" s="9" t="s">
        <v>83</v>
      </c>
      <c r="N309" s="9">
        <f>ROUND((IF(G309="",Analysis!$B$2,G309)-F309)/365.25,1)</f>
        <v>3.3</v>
      </c>
      <c r="O309" s="9">
        <f>IF(G309="","",YEAR(G309))</f>
        <v>2026</v>
      </c>
      <c r="P309" s="9" t="str">
        <f>IF(E309&lt;30,"&lt;30",IF(E309&lt;40,"30-39","40+"))</f>
        <v>30-39</v>
      </c>
    </row>
    <row r="310" spans="1:16" x14ac:dyDescent="0.25">
      <c r="A310" s="9" t="s">
        <v>617</v>
      </c>
      <c r="B310" s="9" t="s">
        <v>61</v>
      </c>
      <c r="C310" s="9" t="s">
        <v>114</v>
      </c>
      <c r="D310" s="9" t="s">
        <v>110</v>
      </c>
      <c r="E310" s="9">
        <v>29</v>
      </c>
      <c r="F310" s="20">
        <v>45884</v>
      </c>
      <c r="G310" s="20"/>
      <c r="H310" s="9" t="s">
        <v>51</v>
      </c>
      <c r="I310" s="21">
        <v>87600</v>
      </c>
      <c r="J310" s="9">
        <v>3</v>
      </c>
      <c r="K310" s="9">
        <v>5</v>
      </c>
      <c r="L310" s="9" t="s">
        <v>71</v>
      </c>
      <c r="M310" s="9"/>
      <c r="N310" s="9">
        <f>ROUND((IF(G310="",Analysis!$B$2,G310)-F310)/365.25,1)</f>
        <v>1.2</v>
      </c>
      <c r="O310" s="9" t="str">
        <f>IF(G310="","",YEAR(G310))</f>
        <v/>
      </c>
      <c r="P310" s="9" t="str">
        <f>IF(E310&lt;30,"&lt;30",IF(E310&lt;40,"30-39","40+"))</f>
        <v>&lt;30</v>
      </c>
    </row>
    <row r="311" spans="1:16" x14ac:dyDescent="0.25">
      <c r="A311" s="9" t="s">
        <v>364</v>
      </c>
      <c r="B311" s="9" t="s">
        <v>63</v>
      </c>
      <c r="C311" s="9" t="s">
        <v>181</v>
      </c>
      <c r="D311" s="9" t="s">
        <v>110</v>
      </c>
      <c r="E311" s="9">
        <v>34</v>
      </c>
      <c r="F311" s="20">
        <v>45132</v>
      </c>
      <c r="G311" s="20"/>
      <c r="H311" s="9" t="s">
        <v>51</v>
      </c>
      <c r="I311" s="21">
        <v>88800</v>
      </c>
      <c r="J311" s="9">
        <v>3</v>
      </c>
      <c r="K311" s="9">
        <v>3</v>
      </c>
      <c r="L311" s="9" t="s">
        <v>71</v>
      </c>
      <c r="M311" s="9"/>
      <c r="N311" s="9">
        <f>ROUND((IF(G311="",Analysis!$B$2,G311)-F311)/365.25,1)</f>
        <v>3.3</v>
      </c>
      <c r="O311" s="9" t="str">
        <f>IF(G311="","",YEAR(G311))</f>
        <v/>
      </c>
      <c r="P311" s="9" t="str">
        <f>IF(E311&lt;30,"&lt;30",IF(E311&lt;40,"30-39","40+"))</f>
        <v>30-39</v>
      </c>
    </row>
    <row r="312" spans="1:16" x14ac:dyDescent="0.25">
      <c r="A312" s="9" t="s">
        <v>608</v>
      </c>
      <c r="B312" s="9" t="s">
        <v>63</v>
      </c>
      <c r="C312" s="9" t="s">
        <v>181</v>
      </c>
      <c r="D312" s="9" t="s">
        <v>102</v>
      </c>
      <c r="E312" s="9">
        <v>27</v>
      </c>
      <c r="F312" s="20">
        <v>45986</v>
      </c>
      <c r="G312" s="20"/>
      <c r="H312" s="9" t="s">
        <v>51</v>
      </c>
      <c r="I312" s="21">
        <v>88900</v>
      </c>
      <c r="J312" s="9">
        <v>3</v>
      </c>
      <c r="K312" s="9">
        <v>4</v>
      </c>
      <c r="L312" s="9" t="s">
        <v>71</v>
      </c>
      <c r="M312" s="9"/>
      <c r="N312" s="9">
        <f>ROUND((IF(G312="",Analysis!$B$2,G312)-F312)/365.25,1)</f>
        <v>0.9</v>
      </c>
      <c r="O312" s="9" t="str">
        <f>IF(G312="","",YEAR(G312))</f>
        <v/>
      </c>
      <c r="P312" s="9" t="str">
        <f>IF(E312&lt;30,"&lt;30",IF(E312&lt;40,"30-39","40+"))</f>
        <v>&lt;30</v>
      </c>
    </row>
    <row r="313" spans="1:16" x14ac:dyDescent="0.25">
      <c r="A313" s="9" t="s">
        <v>188</v>
      </c>
      <c r="B313" s="9" t="s">
        <v>57</v>
      </c>
      <c r="C313" s="9" t="s">
        <v>139</v>
      </c>
      <c r="D313" s="9" t="s">
        <v>110</v>
      </c>
      <c r="E313" s="9">
        <v>33</v>
      </c>
      <c r="F313" s="20">
        <v>45835</v>
      </c>
      <c r="G313" s="20"/>
      <c r="H313" s="9" t="s">
        <v>51</v>
      </c>
      <c r="I313" s="21">
        <v>88900</v>
      </c>
      <c r="J313" s="9">
        <v>3</v>
      </c>
      <c r="K313" s="9">
        <v>4</v>
      </c>
      <c r="L313" s="9" t="s">
        <v>71</v>
      </c>
      <c r="M313" s="9"/>
      <c r="N313" s="9">
        <f>ROUND((IF(G313="",Analysis!$B$2,G313)-F313)/365.25,1)</f>
        <v>1.3</v>
      </c>
      <c r="O313" s="9" t="str">
        <f>IF(G313="","",YEAR(G313))</f>
        <v/>
      </c>
      <c r="P313" s="9" t="str">
        <f>IF(E313&lt;30,"&lt;30",IF(E313&lt;40,"30-39","40+"))</f>
        <v>30-39</v>
      </c>
    </row>
    <row r="314" spans="1:16" x14ac:dyDescent="0.25">
      <c r="A314" s="9" t="s">
        <v>633</v>
      </c>
      <c r="B314" s="9" t="s">
        <v>57</v>
      </c>
      <c r="C314" s="9" t="s">
        <v>139</v>
      </c>
      <c r="D314" s="9" t="s">
        <v>102</v>
      </c>
      <c r="E314" s="9">
        <v>35</v>
      </c>
      <c r="F314" s="20">
        <v>45720</v>
      </c>
      <c r="G314" s="20">
        <v>46242</v>
      </c>
      <c r="H314" s="9" t="s">
        <v>103</v>
      </c>
      <c r="I314" s="21">
        <v>88900</v>
      </c>
      <c r="J314" s="9">
        <v>3</v>
      </c>
      <c r="K314" s="9">
        <v>4</v>
      </c>
      <c r="L314" s="9" t="s">
        <v>70</v>
      </c>
      <c r="M314" s="9" t="s">
        <v>79</v>
      </c>
      <c r="N314" s="9">
        <f>ROUND((IF(G314="",Analysis!$B$2,G314)-F314)/365.25,1)</f>
        <v>1.4</v>
      </c>
      <c r="O314" s="9">
        <f>IF(G314="","",YEAR(G314))</f>
        <v>2026</v>
      </c>
      <c r="P314" s="9" t="str">
        <f>IF(E314&lt;30,"&lt;30",IF(E314&lt;40,"30-39","40+"))</f>
        <v>30-39</v>
      </c>
    </row>
    <row r="315" spans="1:16" x14ac:dyDescent="0.25">
      <c r="A315" s="9" t="s">
        <v>223</v>
      </c>
      <c r="B315" s="9" t="s">
        <v>61</v>
      </c>
      <c r="C315" s="9" t="s">
        <v>178</v>
      </c>
      <c r="D315" s="9" t="s">
        <v>110</v>
      </c>
      <c r="E315" s="9">
        <v>22</v>
      </c>
      <c r="F315" s="20">
        <v>45362</v>
      </c>
      <c r="G315" s="20"/>
      <c r="H315" s="9" t="s">
        <v>51</v>
      </c>
      <c r="I315" s="21">
        <v>89300</v>
      </c>
      <c r="J315" s="9">
        <v>3</v>
      </c>
      <c r="K315" s="9">
        <v>4</v>
      </c>
      <c r="L315" s="9" t="s">
        <v>70</v>
      </c>
      <c r="M315" s="9"/>
      <c r="N315" s="9">
        <f>ROUND((IF(G315="",Analysis!$B$2,G315)-F315)/365.25,1)</f>
        <v>2.6</v>
      </c>
      <c r="O315" s="9" t="str">
        <f>IF(G315="","",YEAR(G315))</f>
        <v/>
      </c>
      <c r="P315" s="9" t="str">
        <f>IF(E315&lt;30,"&lt;30",IF(E315&lt;40,"30-39","40+"))</f>
        <v>&lt;30</v>
      </c>
    </row>
    <row r="316" spans="1:16" x14ac:dyDescent="0.25">
      <c r="A316" s="9" t="s">
        <v>417</v>
      </c>
      <c r="B316" s="9" t="s">
        <v>63</v>
      </c>
      <c r="C316" s="9" t="s">
        <v>181</v>
      </c>
      <c r="D316" s="9" t="s">
        <v>102</v>
      </c>
      <c r="E316" s="9">
        <v>25</v>
      </c>
      <c r="F316" s="20">
        <v>44762</v>
      </c>
      <c r="G316" s="20"/>
      <c r="H316" s="9" t="s">
        <v>51</v>
      </c>
      <c r="I316" s="21">
        <v>89400</v>
      </c>
      <c r="J316" s="9">
        <v>3</v>
      </c>
      <c r="K316" s="9">
        <v>4</v>
      </c>
      <c r="L316" s="9" t="s">
        <v>71</v>
      </c>
      <c r="M316" s="9"/>
      <c r="N316" s="9">
        <f>ROUND((IF(G316="",Analysis!$B$2,G316)-F316)/365.25,1)</f>
        <v>4.3</v>
      </c>
      <c r="O316" s="9" t="str">
        <f>IF(G316="","",YEAR(G316))</f>
        <v/>
      </c>
      <c r="P316" s="9" t="str">
        <f>IF(E316&lt;30,"&lt;30",IF(E316&lt;40,"30-39","40+"))</f>
        <v>&lt;30</v>
      </c>
    </row>
    <row r="317" spans="1:16" x14ac:dyDescent="0.25">
      <c r="A317" s="9" t="s">
        <v>509</v>
      </c>
      <c r="B317" s="9" t="s">
        <v>60</v>
      </c>
      <c r="C317" s="9" t="s">
        <v>145</v>
      </c>
      <c r="D317" s="9" t="s">
        <v>102</v>
      </c>
      <c r="E317" s="9">
        <v>29</v>
      </c>
      <c r="F317" s="20">
        <v>45969</v>
      </c>
      <c r="G317" s="20"/>
      <c r="H317" s="9" t="s">
        <v>51</v>
      </c>
      <c r="I317" s="21">
        <v>89600</v>
      </c>
      <c r="J317" s="9">
        <v>3</v>
      </c>
      <c r="K317" s="9">
        <v>3</v>
      </c>
      <c r="L317" s="9" t="s">
        <v>71</v>
      </c>
      <c r="M317" s="9"/>
      <c r="N317" s="9">
        <f>ROUND((IF(G317="",Analysis!$B$2,G317)-F317)/365.25,1)</f>
        <v>1</v>
      </c>
      <c r="O317" s="9" t="str">
        <f>IF(G317="","",YEAR(G317))</f>
        <v/>
      </c>
      <c r="P317" s="9" t="str">
        <f>IF(E317&lt;30,"&lt;30",IF(E317&lt;40,"30-39","40+"))</f>
        <v>&lt;30</v>
      </c>
    </row>
    <row r="318" spans="1:16" x14ac:dyDescent="0.25">
      <c r="A318" s="9" t="s">
        <v>290</v>
      </c>
      <c r="B318" s="9" t="s">
        <v>59</v>
      </c>
      <c r="C318" s="9" t="s">
        <v>107</v>
      </c>
      <c r="D318" s="9" t="s">
        <v>110</v>
      </c>
      <c r="E318" s="9">
        <v>21</v>
      </c>
      <c r="F318" s="20">
        <v>45711</v>
      </c>
      <c r="G318" s="20"/>
      <c r="H318" s="9" t="s">
        <v>51</v>
      </c>
      <c r="I318" s="21">
        <v>90000</v>
      </c>
      <c r="J318" s="9">
        <v>3</v>
      </c>
      <c r="K318" s="9">
        <v>1</v>
      </c>
      <c r="L318" s="9" t="s">
        <v>71</v>
      </c>
      <c r="M318" s="9"/>
      <c r="N318" s="9">
        <f>ROUND((IF(G318="",Analysis!$B$2,G318)-F318)/365.25,1)</f>
        <v>1.7</v>
      </c>
      <c r="O318" s="9" t="str">
        <f>IF(G318="","",YEAR(G318))</f>
        <v/>
      </c>
      <c r="P318" s="9" t="str">
        <f>IF(E318&lt;30,"&lt;30",IF(E318&lt;40,"30-39","40+"))</f>
        <v>&lt;30</v>
      </c>
    </row>
    <row r="319" spans="1:16" x14ac:dyDescent="0.25">
      <c r="A319" s="9" t="s">
        <v>179</v>
      </c>
      <c r="B319" s="9" t="s">
        <v>61</v>
      </c>
      <c r="C319" s="9" t="s">
        <v>114</v>
      </c>
      <c r="D319" s="9" t="s">
        <v>102</v>
      </c>
      <c r="E319" s="9">
        <v>35</v>
      </c>
      <c r="F319" s="20">
        <v>46093</v>
      </c>
      <c r="G319" s="20"/>
      <c r="H319" s="9" t="s">
        <v>51</v>
      </c>
      <c r="I319" s="21">
        <v>90400</v>
      </c>
      <c r="J319" s="9">
        <v>3</v>
      </c>
      <c r="K319" s="9">
        <v>1</v>
      </c>
      <c r="L319" s="9" t="s">
        <v>71</v>
      </c>
      <c r="M319" s="9"/>
      <c r="N319" s="9">
        <f>ROUND((IF(G319="",Analysis!$B$2,G319)-F319)/365.25,1)</f>
        <v>0.6</v>
      </c>
      <c r="O319" s="9" t="str">
        <f>IF(G319="","",YEAR(G319))</f>
        <v/>
      </c>
      <c r="P319" s="9" t="str">
        <f>IF(E319&lt;30,"&lt;30",IF(E319&lt;40,"30-39","40+"))</f>
        <v>30-39</v>
      </c>
    </row>
    <row r="320" spans="1:16" x14ac:dyDescent="0.25">
      <c r="A320" s="9" t="s">
        <v>281</v>
      </c>
      <c r="B320" s="9" t="s">
        <v>60</v>
      </c>
      <c r="C320" s="9" t="s">
        <v>145</v>
      </c>
      <c r="D320" s="9" t="s">
        <v>102</v>
      </c>
      <c r="E320" s="9">
        <v>33</v>
      </c>
      <c r="F320" s="20">
        <v>44539</v>
      </c>
      <c r="G320" s="20"/>
      <c r="H320" s="9" t="s">
        <v>51</v>
      </c>
      <c r="I320" s="21">
        <v>91600</v>
      </c>
      <c r="J320" s="9">
        <v>3</v>
      </c>
      <c r="K320" s="9">
        <v>2</v>
      </c>
      <c r="L320" s="9" t="s">
        <v>71</v>
      </c>
      <c r="M320" s="9"/>
      <c r="N320" s="9">
        <f>ROUND((IF(G320="",Analysis!$B$2,G320)-F320)/365.25,1)</f>
        <v>4.9000000000000004</v>
      </c>
      <c r="O320" s="9" t="str">
        <f>IF(G320="","",YEAR(G320))</f>
        <v/>
      </c>
      <c r="P320" s="9" t="str">
        <f>IF(E320&lt;30,"&lt;30",IF(E320&lt;40,"30-39","40+"))</f>
        <v>30-39</v>
      </c>
    </row>
    <row r="321" spans="1:16" x14ac:dyDescent="0.25">
      <c r="A321" s="9" t="s">
        <v>677</v>
      </c>
      <c r="B321" s="9" t="s">
        <v>60</v>
      </c>
      <c r="C321" s="9" t="s">
        <v>145</v>
      </c>
      <c r="D321" s="9" t="s">
        <v>110</v>
      </c>
      <c r="E321" s="9">
        <v>47</v>
      </c>
      <c r="F321" s="20">
        <v>44015</v>
      </c>
      <c r="G321" s="20"/>
      <c r="H321" s="9" t="s">
        <v>51</v>
      </c>
      <c r="I321" s="21">
        <v>92700</v>
      </c>
      <c r="J321" s="9">
        <v>3</v>
      </c>
      <c r="K321" s="9">
        <v>4</v>
      </c>
      <c r="L321" s="9" t="s">
        <v>71</v>
      </c>
      <c r="M321" s="9"/>
      <c r="N321" s="9">
        <f>ROUND((IF(G321="",Analysis!$B$2,G321)-F321)/365.25,1)</f>
        <v>6.3</v>
      </c>
      <c r="O321" s="9" t="str">
        <f>IF(G321="","",YEAR(G321))</f>
        <v/>
      </c>
      <c r="P321" s="9" t="str">
        <f>IF(E321&lt;30,"&lt;30",IF(E321&lt;40,"30-39","40+"))</f>
        <v>40+</v>
      </c>
    </row>
    <row r="322" spans="1:16" x14ac:dyDescent="0.25">
      <c r="A322" s="9" t="s">
        <v>453</v>
      </c>
      <c r="B322" s="9" t="s">
        <v>61</v>
      </c>
      <c r="C322" s="9" t="s">
        <v>114</v>
      </c>
      <c r="D322" s="9" t="s">
        <v>102</v>
      </c>
      <c r="E322" s="9">
        <v>28</v>
      </c>
      <c r="F322" s="20">
        <v>46111</v>
      </c>
      <c r="G322" s="20"/>
      <c r="H322" s="9" t="s">
        <v>51</v>
      </c>
      <c r="I322" s="21">
        <v>92900</v>
      </c>
      <c r="J322" s="9">
        <v>3</v>
      </c>
      <c r="K322" s="9">
        <v>3</v>
      </c>
      <c r="L322" s="9" t="s">
        <v>71</v>
      </c>
      <c r="M322" s="9"/>
      <c r="N322" s="9">
        <f>ROUND((IF(G322="",Analysis!$B$2,G322)-F322)/365.25,1)</f>
        <v>0.6</v>
      </c>
      <c r="O322" s="9" t="str">
        <f>IF(G322="","",YEAR(G322))</f>
        <v/>
      </c>
      <c r="P322" s="9" t="str">
        <f>IF(E322&lt;30,"&lt;30",IF(E322&lt;40,"30-39","40+"))</f>
        <v>&lt;30</v>
      </c>
    </row>
    <row r="323" spans="1:16" x14ac:dyDescent="0.25">
      <c r="A323" s="9" t="s">
        <v>479</v>
      </c>
      <c r="B323" s="9" t="s">
        <v>63</v>
      </c>
      <c r="C323" s="9" t="s">
        <v>181</v>
      </c>
      <c r="D323" s="9" t="s">
        <v>110</v>
      </c>
      <c r="E323" s="9">
        <v>31</v>
      </c>
      <c r="F323" s="20">
        <v>45424</v>
      </c>
      <c r="G323" s="20"/>
      <c r="H323" s="9" t="s">
        <v>51</v>
      </c>
      <c r="I323" s="21">
        <v>92900</v>
      </c>
      <c r="J323" s="9">
        <v>3</v>
      </c>
      <c r="K323" s="9">
        <v>3</v>
      </c>
      <c r="L323" s="9" t="s">
        <v>71</v>
      </c>
      <c r="M323" s="9"/>
      <c r="N323" s="9">
        <f>ROUND((IF(G323="",Analysis!$B$2,G323)-F323)/365.25,1)</f>
        <v>2.5</v>
      </c>
      <c r="O323" s="9" t="str">
        <f>IF(G323="","",YEAR(G323))</f>
        <v/>
      </c>
      <c r="P323" s="9" t="str">
        <f>IF(E323&lt;30,"&lt;30",IF(E323&lt;40,"30-39","40+"))</f>
        <v>30-39</v>
      </c>
    </row>
    <row r="324" spans="1:16" x14ac:dyDescent="0.25">
      <c r="A324" s="9" t="s">
        <v>242</v>
      </c>
      <c r="B324" s="9" t="s">
        <v>61</v>
      </c>
      <c r="C324" s="9" t="s">
        <v>178</v>
      </c>
      <c r="D324" s="9" t="s">
        <v>102</v>
      </c>
      <c r="E324" s="9">
        <v>31</v>
      </c>
      <c r="F324" s="20">
        <v>45165</v>
      </c>
      <c r="G324" s="20"/>
      <c r="H324" s="9" t="s">
        <v>51</v>
      </c>
      <c r="I324" s="21">
        <v>93000</v>
      </c>
      <c r="J324" s="9">
        <v>3</v>
      </c>
      <c r="K324" s="9">
        <v>3</v>
      </c>
      <c r="L324" s="9" t="s">
        <v>71</v>
      </c>
      <c r="M324" s="9"/>
      <c r="N324" s="9">
        <f>ROUND((IF(G324="",Analysis!$B$2,G324)-F324)/365.25,1)</f>
        <v>3.2</v>
      </c>
      <c r="O324" s="9" t="str">
        <f>IF(G324="","",YEAR(G324))</f>
        <v/>
      </c>
      <c r="P324" s="9" t="str">
        <f>IF(E324&lt;30,"&lt;30",IF(E324&lt;40,"30-39","40+"))</f>
        <v>30-39</v>
      </c>
    </row>
    <row r="325" spans="1:16" x14ac:dyDescent="0.25">
      <c r="A325" s="9" t="s">
        <v>591</v>
      </c>
      <c r="B325" s="9" t="s">
        <v>63</v>
      </c>
      <c r="C325" s="9" t="s">
        <v>181</v>
      </c>
      <c r="D325" s="9" t="s">
        <v>110</v>
      </c>
      <c r="E325" s="9">
        <v>46</v>
      </c>
      <c r="F325" s="20">
        <v>43534</v>
      </c>
      <c r="G325" s="20"/>
      <c r="H325" s="9" t="s">
        <v>51</v>
      </c>
      <c r="I325" s="21">
        <v>93600</v>
      </c>
      <c r="J325" s="9">
        <v>3</v>
      </c>
      <c r="K325" s="9">
        <v>2</v>
      </c>
      <c r="L325" s="9" t="s">
        <v>71</v>
      </c>
      <c r="M325" s="9"/>
      <c r="N325" s="9">
        <f>ROUND((IF(G325="",Analysis!$B$2,G325)-F325)/365.25,1)</f>
        <v>7.6</v>
      </c>
      <c r="O325" s="9" t="str">
        <f>IF(G325="","",YEAR(G325))</f>
        <v/>
      </c>
      <c r="P325" s="9" t="str">
        <f>IF(E325&lt;30,"&lt;30",IF(E325&lt;40,"30-39","40+"))</f>
        <v>40+</v>
      </c>
    </row>
    <row r="326" spans="1:16" x14ac:dyDescent="0.25">
      <c r="A326" s="9" t="s">
        <v>291</v>
      </c>
      <c r="B326" s="9" t="s">
        <v>63</v>
      </c>
      <c r="C326" s="9" t="s">
        <v>181</v>
      </c>
      <c r="D326" s="9" t="s">
        <v>102</v>
      </c>
      <c r="E326" s="9">
        <v>29</v>
      </c>
      <c r="F326" s="20">
        <v>43352</v>
      </c>
      <c r="G326" s="20"/>
      <c r="H326" s="9" t="s">
        <v>51</v>
      </c>
      <c r="I326" s="21">
        <v>94500</v>
      </c>
      <c r="J326" s="9">
        <v>3</v>
      </c>
      <c r="K326" s="9">
        <v>4</v>
      </c>
      <c r="L326" s="9" t="s">
        <v>71</v>
      </c>
      <c r="M326" s="9"/>
      <c r="N326" s="9">
        <f>ROUND((IF(G326="",Analysis!$B$2,G326)-F326)/365.25,1)</f>
        <v>8.1</v>
      </c>
      <c r="O326" s="9" t="str">
        <f>IF(G326="","",YEAR(G326))</f>
        <v/>
      </c>
      <c r="P326" s="9" t="str">
        <f>IF(E326&lt;30,"&lt;30",IF(E326&lt;40,"30-39","40+"))</f>
        <v>&lt;30</v>
      </c>
    </row>
    <row r="327" spans="1:16" x14ac:dyDescent="0.25">
      <c r="A327" s="9" t="s">
        <v>307</v>
      </c>
      <c r="B327" s="9" t="s">
        <v>60</v>
      </c>
      <c r="C327" s="9" t="s">
        <v>145</v>
      </c>
      <c r="D327" s="9" t="s">
        <v>102</v>
      </c>
      <c r="E327" s="9">
        <v>35</v>
      </c>
      <c r="F327" s="20">
        <v>44304</v>
      </c>
      <c r="G327" s="20">
        <v>45786</v>
      </c>
      <c r="H327" s="9" t="s">
        <v>103</v>
      </c>
      <c r="I327" s="21">
        <v>94900</v>
      </c>
      <c r="J327" s="9">
        <v>3</v>
      </c>
      <c r="K327" s="9">
        <v>2</v>
      </c>
      <c r="L327" s="9" t="s">
        <v>70</v>
      </c>
      <c r="M327" s="9" t="s">
        <v>80</v>
      </c>
      <c r="N327" s="9">
        <f>ROUND((IF(G327="",Analysis!$B$2,G327)-F327)/365.25,1)</f>
        <v>4.0999999999999996</v>
      </c>
      <c r="O327" s="9">
        <f>IF(G327="","",YEAR(G327))</f>
        <v>2025</v>
      </c>
      <c r="P327" s="9" t="str">
        <f>IF(E327&lt;30,"&lt;30",IF(E327&lt;40,"30-39","40+"))</f>
        <v>30-39</v>
      </c>
    </row>
    <row r="328" spans="1:16" x14ac:dyDescent="0.25">
      <c r="A328" s="9" t="s">
        <v>131</v>
      </c>
      <c r="B328" s="9" t="s">
        <v>59</v>
      </c>
      <c r="C328" s="9" t="s">
        <v>107</v>
      </c>
      <c r="D328" s="9" t="s">
        <v>102</v>
      </c>
      <c r="E328" s="9">
        <v>37</v>
      </c>
      <c r="F328" s="20">
        <v>43737</v>
      </c>
      <c r="G328" s="20"/>
      <c r="H328" s="9" t="s">
        <v>51</v>
      </c>
      <c r="I328" s="21">
        <v>95300</v>
      </c>
      <c r="J328" s="9">
        <v>3</v>
      </c>
      <c r="K328" s="9">
        <v>3</v>
      </c>
      <c r="L328" s="9" t="s">
        <v>70</v>
      </c>
      <c r="M328" s="9"/>
      <c r="N328" s="9">
        <f>ROUND((IF(G328="",Analysis!$B$2,G328)-F328)/365.25,1)</f>
        <v>7.1</v>
      </c>
      <c r="O328" s="9" t="str">
        <f>IF(G328="","",YEAR(G328))</f>
        <v/>
      </c>
      <c r="P328" s="9" t="str">
        <f>IF(E328&lt;30,"&lt;30",IF(E328&lt;40,"30-39","40+"))</f>
        <v>30-39</v>
      </c>
    </row>
    <row r="329" spans="1:16" x14ac:dyDescent="0.25">
      <c r="A329" s="9" t="s">
        <v>521</v>
      </c>
      <c r="B329" s="9" t="s">
        <v>63</v>
      </c>
      <c r="C329" s="9" t="s">
        <v>181</v>
      </c>
      <c r="D329" s="9" t="s">
        <v>102</v>
      </c>
      <c r="E329" s="9">
        <v>37</v>
      </c>
      <c r="F329" s="20">
        <v>44457</v>
      </c>
      <c r="G329" s="20"/>
      <c r="H329" s="9" t="s">
        <v>51</v>
      </c>
      <c r="I329" s="21">
        <v>95600</v>
      </c>
      <c r="J329" s="9">
        <v>3</v>
      </c>
      <c r="K329" s="9">
        <v>1</v>
      </c>
      <c r="L329" s="9" t="s">
        <v>71</v>
      </c>
      <c r="M329" s="9"/>
      <c r="N329" s="9">
        <f>ROUND((IF(G329="",Analysis!$B$2,G329)-F329)/365.25,1)</f>
        <v>5.0999999999999996</v>
      </c>
      <c r="O329" s="9" t="str">
        <f>IF(G329="","",YEAR(G329))</f>
        <v/>
      </c>
      <c r="P329" s="9" t="str">
        <f>IF(E329&lt;30,"&lt;30",IF(E329&lt;40,"30-39","40+"))</f>
        <v>30-39</v>
      </c>
    </row>
    <row r="330" spans="1:16" x14ac:dyDescent="0.25">
      <c r="A330" s="9" t="s">
        <v>187</v>
      </c>
      <c r="B330" s="9" t="s">
        <v>59</v>
      </c>
      <c r="C330" s="9" t="s">
        <v>107</v>
      </c>
      <c r="D330" s="9" t="s">
        <v>102</v>
      </c>
      <c r="E330" s="9">
        <v>35</v>
      </c>
      <c r="F330" s="20">
        <v>45366</v>
      </c>
      <c r="G330" s="20"/>
      <c r="H330" s="9" t="s">
        <v>51</v>
      </c>
      <c r="I330" s="21">
        <v>95700</v>
      </c>
      <c r="J330" s="9">
        <v>3</v>
      </c>
      <c r="K330" s="9">
        <v>3</v>
      </c>
      <c r="L330" s="9" t="s">
        <v>71</v>
      </c>
      <c r="M330" s="9"/>
      <c r="N330" s="9">
        <f>ROUND((IF(G330="",Analysis!$B$2,G330)-F330)/365.25,1)</f>
        <v>2.6</v>
      </c>
      <c r="O330" s="9" t="str">
        <f>IF(G330="","",YEAR(G330))</f>
        <v/>
      </c>
      <c r="P330" s="9" t="str">
        <f>IF(E330&lt;30,"&lt;30",IF(E330&lt;40,"30-39","40+"))</f>
        <v>30-39</v>
      </c>
    </row>
    <row r="331" spans="1:16" x14ac:dyDescent="0.25">
      <c r="A331" s="9" t="s">
        <v>670</v>
      </c>
      <c r="B331" s="9" t="s">
        <v>59</v>
      </c>
      <c r="C331" s="9" t="s">
        <v>107</v>
      </c>
      <c r="D331" s="9" t="s">
        <v>102</v>
      </c>
      <c r="E331" s="9">
        <v>33</v>
      </c>
      <c r="F331" s="20">
        <v>44508</v>
      </c>
      <c r="G331" s="20"/>
      <c r="H331" s="9" t="s">
        <v>51</v>
      </c>
      <c r="I331" s="21">
        <v>96100</v>
      </c>
      <c r="J331" s="9">
        <v>3</v>
      </c>
      <c r="K331" s="9">
        <v>5</v>
      </c>
      <c r="L331" s="9" t="s">
        <v>71</v>
      </c>
      <c r="M331" s="9"/>
      <c r="N331" s="9">
        <f>ROUND((IF(G331="",Analysis!$B$2,G331)-F331)/365.25,1)</f>
        <v>5</v>
      </c>
      <c r="O331" s="9" t="str">
        <f>IF(G331="","",YEAR(G331))</f>
        <v/>
      </c>
      <c r="P331" s="9" t="str">
        <f>IF(E331&lt;30,"&lt;30",IF(E331&lt;40,"30-39","40+"))</f>
        <v>30-39</v>
      </c>
    </row>
    <row r="332" spans="1:16" x14ac:dyDescent="0.25">
      <c r="A332" s="9" t="s">
        <v>550</v>
      </c>
      <c r="B332" s="9" t="s">
        <v>60</v>
      </c>
      <c r="C332" s="9" t="s">
        <v>145</v>
      </c>
      <c r="D332" s="9" t="s">
        <v>193</v>
      </c>
      <c r="E332" s="9">
        <v>24</v>
      </c>
      <c r="F332" s="20">
        <v>46153</v>
      </c>
      <c r="G332" s="20">
        <v>46285</v>
      </c>
      <c r="H332" s="9" t="s">
        <v>103</v>
      </c>
      <c r="I332" s="21">
        <v>98600</v>
      </c>
      <c r="J332" s="9">
        <v>3</v>
      </c>
      <c r="K332" s="9">
        <v>3</v>
      </c>
      <c r="L332" s="9" t="s">
        <v>70</v>
      </c>
      <c r="M332" s="9" t="s">
        <v>82</v>
      </c>
      <c r="N332" s="9">
        <f>ROUND((IF(G332="",Analysis!$B$2,G332)-F332)/365.25,1)</f>
        <v>0.4</v>
      </c>
      <c r="O332" s="9">
        <f>IF(G332="","",YEAR(G332))</f>
        <v>2026</v>
      </c>
      <c r="P332" s="9" t="str">
        <f>IF(E332&lt;30,"&lt;30",IF(E332&lt;40,"30-39","40+"))</f>
        <v>&lt;30</v>
      </c>
    </row>
    <row r="333" spans="1:16" x14ac:dyDescent="0.25">
      <c r="A333" s="9" t="s">
        <v>524</v>
      </c>
      <c r="B333" s="9" t="s">
        <v>59</v>
      </c>
      <c r="C333" s="9" t="s">
        <v>107</v>
      </c>
      <c r="D333" s="9" t="s">
        <v>102</v>
      </c>
      <c r="E333" s="9">
        <v>34</v>
      </c>
      <c r="F333" s="20">
        <v>45459</v>
      </c>
      <c r="G333" s="20"/>
      <c r="H333" s="9" t="s">
        <v>51</v>
      </c>
      <c r="I333" s="21">
        <v>99900</v>
      </c>
      <c r="J333" s="9">
        <v>3</v>
      </c>
      <c r="K333" s="9">
        <v>3</v>
      </c>
      <c r="L333" s="9" t="s">
        <v>71</v>
      </c>
      <c r="M333" s="9"/>
      <c r="N333" s="9">
        <f>ROUND((IF(G333="",Analysis!$B$2,G333)-F333)/365.25,1)</f>
        <v>2.4</v>
      </c>
      <c r="O333" s="9" t="str">
        <f>IF(G333="","",YEAR(G333))</f>
        <v/>
      </c>
      <c r="P333" s="9" t="str">
        <f>IF(E333&lt;30,"&lt;30",IF(E333&lt;40,"30-39","40+"))</f>
        <v>30-39</v>
      </c>
    </row>
    <row r="334" spans="1:16" x14ac:dyDescent="0.25">
      <c r="A334" s="9" t="s">
        <v>220</v>
      </c>
      <c r="B334" s="9" t="s">
        <v>59</v>
      </c>
      <c r="C334" s="9" t="s">
        <v>107</v>
      </c>
      <c r="D334" s="9" t="s">
        <v>110</v>
      </c>
      <c r="E334" s="9">
        <v>34</v>
      </c>
      <c r="F334" s="20">
        <v>43350</v>
      </c>
      <c r="G334" s="20"/>
      <c r="H334" s="9" t="s">
        <v>51</v>
      </c>
      <c r="I334" s="21">
        <v>101200</v>
      </c>
      <c r="J334" s="9">
        <v>3</v>
      </c>
      <c r="K334" s="9">
        <v>3</v>
      </c>
      <c r="L334" s="9" t="s">
        <v>70</v>
      </c>
      <c r="M334" s="9"/>
      <c r="N334" s="9">
        <f>ROUND((IF(G334="",Analysis!$B$2,G334)-F334)/365.25,1)</f>
        <v>8.1</v>
      </c>
      <c r="O334" s="9" t="str">
        <f>IF(G334="","",YEAR(G334))</f>
        <v/>
      </c>
      <c r="P334" s="9" t="str">
        <f>IF(E334&lt;30,"&lt;30",IF(E334&lt;40,"30-39","40+"))</f>
        <v>30-39</v>
      </c>
    </row>
    <row r="335" spans="1:16" x14ac:dyDescent="0.25">
      <c r="A335" s="9" t="s">
        <v>365</v>
      </c>
      <c r="B335" s="9" t="s">
        <v>59</v>
      </c>
      <c r="C335" s="9" t="s">
        <v>107</v>
      </c>
      <c r="D335" s="9" t="s">
        <v>110</v>
      </c>
      <c r="E335" s="9">
        <v>29</v>
      </c>
      <c r="F335" s="20">
        <v>43808</v>
      </c>
      <c r="G335" s="20"/>
      <c r="H335" s="9" t="s">
        <v>51</v>
      </c>
      <c r="I335" s="21">
        <v>101700</v>
      </c>
      <c r="J335" s="9">
        <v>3</v>
      </c>
      <c r="K335" s="9">
        <v>5</v>
      </c>
      <c r="L335" s="9" t="s">
        <v>71</v>
      </c>
      <c r="M335" s="9"/>
      <c r="N335" s="9">
        <f>ROUND((IF(G335="",Analysis!$B$2,G335)-F335)/365.25,1)</f>
        <v>6.9</v>
      </c>
      <c r="O335" s="9" t="str">
        <f>IF(G335="","",YEAR(G335))</f>
        <v/>
      </c>
      <c r="P335" s="9" t="str">
        <f>IF(E335&lt;30,"&lt;30",IF(E335&lt;40,"30-39","40+"))</f>
        <v>&lt;30</v>
      </c>
    </row>
    <row r="336" spans="1:16" x14ac:dyDescent="0.25">
      <c r="A336" s="9" t="s">
        <v>462</v>
      </c>
      <c r="B336" s="9" t="s">
        <v>63</v>
      </c>
      <c r="C336" s="9" t="s">
        <v>181</v>
      </c>
      <c r="D336" s="9" t="s">
        <v>102</v>
      </c>
      <c r="E336" s="9">
        <v>39</v>
      </c>
      <c r="F336" s="20">
        <v>44656</v>
      </c>
      <c r="G336" s="20">
        <v>45665</v>
      </c>
      <c r="H336" s="9" t="s">
        <v>103</v>
      </c>
      <c r="I336" s="21">
        <v>102100</v>
      </c>
      <c r="J336" s="9">
        <v>3</v>
      </c>
      <c r="K336" s="9">
        <v>3</v>
      </c>
      <c r="L336" s="9" t="s">
        <v>71</v>
      </c>
      <c r="M336" s="9" t="s">
        <v>82</v>
      </c>
      <c r="N336" s="9">
        <f>ROUND((IF(G336="",Analysis!$B$2,G336)-F336)/365.25,1)</f>
        <v>2.8</v>
      </c>
      <c r="O336" s="9">
        <f>IF(G336="","",YEAR(G336))</f>
        <v>2025</v>
      </c>
      <c r="P336" s="9" t="str">
        <f>IF(E336&lt;30,"&lt;30",IF(E336&lt;40,"30-39","40+"))</f>
        <v>30-39</v>
      </c>
    </row>
    <row r="337" spans="1:16" x14ac:dyDescent="0.25">
      <c r="A337" s="9" t="s">
        <v>159</v>
      </c>
      <c r="B337" s="9" t="s">
        <v>59</v>
      </c>
      <c r="C337" s="9" t="s">
        <v>107</v>
      </c>
      <c r="D337" s="9" t="s">
        <v>102</v>
      </c>
      <c r="E337" s="9">
        <v>37</v>
      </c>
      <c r="F337" s="20">
        <v>46138</v>
      </c>
      <c r="G337" s="20"/>
      <c r="H337" s="9" t="s">
        <v>51</v>
      </c>
      <c r="I337" s="21">
        <v>103300</v>
      </c>
      <c r="J337" s="9">
        <v>3</v>
      </c>
      <c r="K337" s="9">
        <v>5</v>
      </c>
      <c r="L337" s="9" t="s">
        <v>70</v>
      </c>
      <c r="M337" s="9"/>
      <c r="N337" s="9">
        <f>ROUND((IF(G337="",Analysis!$B$2,G337)-F337)/365.25,1)</f>
        <v>0.5</v>
      </c>
      <c r="O337" s="9" t="str">
        <f>IF(G337="","",YEAR(G337))</f>
        <v/>
      </c>
      <c r="P337" s="9" t="str">
        <f>IF(E337&lt;30,"&lt;30",IF(E337&lt;40,"30-39","40+"))</f>
        <v>30-39</v>
      </c>
    </row>
    <row r="338" spans="1:16" x14ac:dyDescent="0.25">
      <c r="A338" s="9" t="s">
        <v>578</v>
      </c>
      <c r="B338" s="9" t="s">
        <v>61</v>
      </c>
      <c r="C338" s="9" t="s">
        <v>114</v>
      </c>
      <c r="D338" s="9" t="s">
        <v>110</v>
      </c>
      <c r="E338" s="9">
        <v>28</v>
      </c>
      <c r="F338" s="20">
        <v>45638</v>
      </c>
      <c r="G338" s="20"/>
      <c r="H338" s="9" t="s">
        <v>51</v>
      </c>
      <c r="I338" s="21">
        <v>104000</v>
      </c>
      <c r="J338" s="9">
        <v>3</v>
      </c>
      <c r="K338" s="9">
        <v>2</v>
      </c>
      <c r="L338" s="9" t="s">
        <v>70</v>
      </c>
      <c r="M338" s="9"/>
      <c r="N338" s="9">
        <f>ROUND((IF(G338="",Analysis!$B$2,G338)-F338)/365.25,1)</f>
        <v>1.9</v>
      </c>
      <c r="O338" s="9" t="str">
        <f>IF(G338="","",YEAR(G338))</f>
        <v/>
      </c>
      <c r="P338" s="9" t="str">
        <f>IF(E338&lt;30,"&lt;30",IF(E338&lt;40,"30-39","40+"))</f>
        <v>&lt;30</v>
      </c>
    </row>
    <row r="339" spans="1:16" x14ac:dyDescent="0.25">
      <c r="A339" s="9" t="s">
        <v>362</v>
      </c>
      <c r="B339" s="9" t="s">
        <v>59</v>
      </c>
      <c r="C339" s="9" t="s">
        <v>107</v>
      </c>
      <c r="D339" s="9" t="s">
        <v>102</v>
      </c>
      <c r="E339" s="9">
        <v>33</v>
      </c>
      <c r="F339" s="20">
        <v>43641</v>
      </c>
      <c r="G339" s="20"/>
      <c r="H339" s="9" t="s">
        <v>51</v>
      </c>
      <c r="I339" s="21">
        <v>105600</v>
      </c>
      <c r="J339" s="9">
        <v>3</v>
      </c>
      <c r="K339" s="9">
        <v>5</v>
      </c>
      <c r="L339" s="9" t="s">
        <v>71</v>
      </c>
      <c r="M339" s="9"/>
      <c r="N339" s="9">
        <f>ROUND((IF(G339="",Analysis!$B$2,G339)-F339)/365.25,1)</f>
        <v>7.3</v>
      </c>
      <c r="O339" s="9" t="str">
        <f>IF(G339="","",YEAR(G339))</f>
        <v/>
      </c>
      <c r="P339" s="9" t="str">
        <f>IF(E339&lt;30,"&lt;30",IF(E339&lt;40,"30-39","40+"))</f>
        <v>30-39</v>
      </c>
    </row>
    <row r="340" spans="1:16" x14ac:dyDescent="0.25">
      <c r="A340" s="9" t="s">
        <v>404</v>
      </c>
      <c r="B340" s="9" t="s">
        <v>59</v>
      </c>
      <c r="C340" s="9" t="s">
        <v>107</v>
      </c>
      <c r="D340" s="9" t="s">
        <v>110</v>
      </c>
      <c r="E340" s="9">
        <v>21</v>
      </c>
      <c r="F340" s="20">
        <v>46134</v>
      </c>
      <c r="G340" s="20"/>
      <c r="H340" s="9" t="s">
        <v>51</v>
      </c>
      <c r="I340" s="21">
        <v>106700</v>
      </c>
      <c r="J340" s="9">
        <v>3</v>
      </c>
      <c r="K340" s="9">
        <v>2</v>
      </c>
      <c r="L340" s="9" t="s">
        <v>70</v>
      </c>
      <c r="M340" s="9"/>
      <c r="N340" s="9">
        <f>ROUND((IF(G340="",Analysis!$B$2,G340)-F340)/365.25,1)</f>
        <v>0.5</v>
      </c>
      <c r="O340" s="9" t="str">
        <f>IF(G340="","",YEAR(G340))</f>
        <v/>
      </c>
      <c r="P340" s="9" t="str">
        <f>IF(E340&lt;30,"&lt;30",IF(E340&lt;40,"30-39","40+"))</f>
        <v>&lt;30</v>
      </c>
    </row>
    <row r="341" spans="1:16" x14ac:dyDescent="0.25">
      <c r="A341" s="9" t="s">
        <v>611</v>
      </c>
      <c r="B341" s="9" t="s">
        <v>61</v>
      </c>
      <c r="C341" s="9" t="s">
        <v>114</v>
      </c>
      <c r="D341" s="9" t="s">
        <v>110</v>
      </c>
      <c r="E341" s="9">
        <v>36</v>
      </c>
      <c r="F341" s="20">
        <v>46141</v>
      </c>
      <c r="G341" s="20"/>
      <c r="H341" s="9" t="s">
        <v>51</v>
      </c>
      <c r="I341" s="21">
        <v>106700</v>
      </c>
      <c r="J341" s="9">
        <v>3</v>
      </c>
      <c r="K341" s="9">
        <v>3</v>
      </c>
      <c r="L341" s="9" t="s">
        <v>71</v>
      </c>
      <c r="M341" s="9"/>
      <c r="N341" s="9">
        <f>ROUND((IF(G341="",Analysis!$B$2,G341)-F341)/365.25,1)</f>
        <v>0.5</v>
      </c>
      <c r="O341" s="9" t="str">
        <f>IF(G341="","",YEAR(G341))</f>
        <v/>
      </c>
      <c r="P341" s="9" t="str">
        <f>IF(E341&lt;30,"&lt;30",IF(E341&lt;40,"30-39","40+"))</f>
        <v>30-39</v>
      </c>
    </row>
    <row r="342" spans="1:16" x14ac:dyDescent="0.25">
      <c r="A342" s="9" t="s">
        <v>259</v>
      </c>
      <c r="B342" s="9" t="s">
        <v>59</v>
      </c>
      <c r="C342" s="9" t="s">
        <v>107</v>
      </c>
      <c r="D342" s="9" t="s">
        <v>102</v>
      </c>
      <c r="E342" s="9">
        <v>32</v>
      </c>
      <c r="F342" s="20">
        <v>43256</v>
      </c>
      <c r="G342" s="20">
        <v>44072</v>
      </c>
      <c r="H342" s="9" t="s">
        <v>103</v>
      </c>
      <c r="I342" s="21">
        <v>107000</v>
      </c>
      <c r="J342" s="9">
        <v>3</v>
      </c>
      <c r="K342" s="9">
        <v>2</v>
      </c>
      <c r="L342" s="9" t="s">
        <v>70</v>
      </c>
      <c r="M342" s="9" t="s">
        <v>80</v>
      </c>
      <c r="N342" s="9">
        <f>ROUND((IF(G342="",Analysis!$B$2,G342)-F342)/365.25,1)</f>
        <v>2.2000000000000002</v>
      </c>
      <c r="O342" s="9">
        <f>IF(G342="","",YEAR(G342))</f>
        <v>2020</v>
      </c>
      <c r="P342" s="9" t="str">
        <f>IF(E342&lt;30,"&lt;30",IF(E342&lt;40,"30-39","40+"))</f>
        <v>30-39</v>
      </c>
    </row>
    <row r="343" spans="1:16" x14ac:dyDescent="0.25">
      <c r="A343" s="9" t="s">
        <v>596</v>
      </c>
      <c r="B343" s="9" t="s">
        <v>59</v>
      </c>
      <c r="C343" s="9" t="s">
        <v>134</v>
      </c>
      <c r="D343" s="9" t="s">
        <v>110</v>
      </c>
      <c r="E343" s="9">
        <v>41</v>
      </c>
      <c r="F343" s="20">
        <v>43152</v>
      </c>
      <c r="G343" s="20"/>
      <c r="H343" s="9" t="s">
        <v>51</v>
      </c>
      <c r="I343" s="21">
        <v>108100</v>
      </c>
      <c r="J343" s="9">
        <v>3</v>
      </c>
      <c r="K343" s="9">
        <v>4</v>
      </c>
      <c r="L343" s="9" t="s">
        <v>71</v>
      </c>
      <c r="M343" s="9"/>
      <c r="N343" s="9">
        <f>ROUND((IF(G343="",Analysis!$B$2,G343)-F343)/365.25,1)</f>
        <v>8.6999999999999993</v>
      </c>
      <c r="O343" s="9" t="str">
        <f>IF(G343="","",YEAR(G343))</f>
        <v/>
      </c>
      <c r="P343" s="9" t="str">
        <f>IF(E343&lt;30,"&lt;30",IF(E343&lt;40,"30-39","40+"))</f>
        <v>40+</v>
      </c>
    </row>
    <row r="344" spans="1:16" x14ac:dyDescent="0.25">
      <c r="A344" s="9" t="s">
        <v>497</v>
      </c>
      <c r="B344" s="9" t="s">
        <v>59</v>
      </c>
      <c r="C344" s="9" t="s">
        <v>134</v>
      </c>
      <c r="D344" s="9" t="s">
        <v>110</v>
      </c>
      <c r="E344" s="9">
        <v>27</v>
      </c>
      <c r="F344" s="20">
        <v>44331</v>
      </c>
      <c r="G344" s="20"/>
      <c r="H344" s="9" t="s">
        <v>51</v>
      </c>
      <c r="I344" s="21">
        <v>108500</v>
      </c>
      <c r="J344" s="9">
        <v>3</v>
      </c>
      <c r="K344" s="9">
        <v>5</v>
      </c>
      <c r="L344" s="9" t="s">
        <v>71</v>
      </c>
      <c r="M344" s="9"/>
      <c r="N344" s="9">
        <f>ROUND((IF(G344="",Analysis!$B$2,G344)-F344)/365.25,1)</f>
        <v>5.5</v>
      </c>
      <c r="O344" s="9" t="str">
        <f>IF(G344="","",YEAR(G344))</f>
        <v/>
      </c>
      <c r="P344" s="9" t="str">
        <f>IF(E344&lt;30,"&lt;30",IF(E344&lt;40,"30-39","40+"))</f>
        <v>&lt;30</v>
      </c>
    </row>
    <row r="345" spans="1:16" x14ac:dyDescent="0.25">
      <c r="A345" s="9" t="s">
        <v>257</v>
      </c>
      <c r="B345" s="9" t="s">
        <v>61</v>
      </c>
      <c r="C345" s="9" t="s">
        <v>114</v>
      </c>
      <c r="D345" s="9" t="s">
        <v>110</v>
      </c>
      <c r="E345" s="9">
        <v>27</v>
      </c>
      <c r="F345" s="20">
        <v>44663</v>
      </c>
      <c r="G345" s="20"/>
      <c r="H345" s="9" t="s">
        <v>51</v>
      </c>
      <c r="I345" s="21">
        <v>112200</v>
      </c>
      <c r="J345" s="9">
        <v>3</v>
      </c>
      <c r="K345" s="9">
        <v>5</v>
      </c>
      <c r="L345" s="9" t="s">
        <v>71</v>
      </c>
      <c r="M345" s="9"/>
      <c r="N345" s="9">
        <f>ROUND((IF(G345="",Analysis!$B$2,G345)-F345)/365.25,1)</f>
        <v>4.5</v>
      </c>
      <c r="O345" s="9" t="str">
        <f>IF(G345="","",YEAR(G345))</f>
        <v/>
      </c>
      <c r="P345" s="9" t="str">
        <f>IF(E345&lt;30,"&lt;30",IF(E345&lt;40,"30-39","40+"))</f>
        <v>&lt;30</v>
      </c>
    </row>
    <row r="346" spans="1:16" x14ac:dyDescent="0.25">
      <c r="A346" s="9" t="s">
        <v>310</v>
      </c>
      <c r="B346" s="9" t="s">
        <v>59</v>
      </c>
      <c r="C346" s="9" t="s">
        <v>107</v>
      </c>
      <c r="D346" s="9" t="s">
        <v>102</v>
      </c>
      <c r="E346" s="9">
        <v>28</v>
      </c>
      <c r="F346" s="20">
        <v>43340</v>
      </c>
      <c r="G346" s="20">
        <v>46120</v>
      </c>
      <c r="H346" s="9" t="s">
        <v>103</v>
      </c>
      <c r="I346" s="21">
        <v>112500</v>
      </c>
      <c r="J346" s="9">
        <v>3</v>
      </c>
      <c r="K346" s="9">
        <v>3</v>
      </c>
      <c r="L346" s="9" t="s">
        <v>71</v>
      </c>
      <c r="M346" s="9" t="s">
        <v>80</v>
      </c>
      <c r="N346" s="9">
        <f>ROUND((IF(G346="",Analysis!$B$2,G346)-F346)/365.25,1)</f>
        <v>7.6</v>
      </c>
      <c r="O346" s="9">
        <f>IF(G346="","",YEAR(G346))</f>
        <v>2026</v>
      </c>
      <c r="P346" s="9" t="str">
        <f>IF(E346&lt;30,"&lt;30",IF(E346&lt;40,"30-39","40+"))</f>
        <v>&lt;30</v>
      </c>
    </row>
    <row r="347" spans="1:16" x14ac:dyDescent="0.25">
      <c r="A347" s="9" t="s">
        <v>532</v>
      </c>
      <c r="B347" s="9" t="s">
        <v>61</v>
      </c>
      <c r="C347" s="9" t="s">
        <v>114</v>
      </c>
      <c r="D347" s="9" t="s">
        <v>110</v>
      </c>
      <c r="E347" s="9">
        <v>31</v>
      </c>
      <c r="F347" s="20">
        <v>46010</v>
      </c>
      <c r="G347" s="20"/>
      <c r="H347" s="9" t="s">
        <v>51</v>
      </c>
      <c r="I347" s="21">
        <v>116300</v>
      </c>
      <c r="J347" s="9">
        <v>3</v>
      </c>
      <c r="K347" s="9">
        <v>3</v>
      </c>
      <c r="L347" s="9" t="s">
        <v>70</v>
      </c>
      <c r="M347" s="9"/>
      <c r="N347" s="9">
        <f>ROUND((IF(G347="",Analysis!$B$2,G347)-F347)/365.25,1)</f>
        <v>0.9</v>
      </c>
      <c r="O347" s="9" t="str">
        <f>IF(G347="","",YEAR(G347))</f>
        <v/>
      </c>
      <c r="P347" s="9" t="str">
        <f>IF(E347&lt;30,"&lt;30",IF(E347&lt;40,"30-39","40+"))</f>
        <v>30-39</v>
      </c>
    </row>
    <row r="348" spans="1:16" x14ac:dyDescent="0.25">
      <c r="A348" s="9" t="s">
        <v>267</v>
      </c>
      <c r="B348" s="9" t="s">
        <v>61</v>
      </c>
      <c r="C348" s="9" t="s">
        <v>114</v>
      </c>
      <c r="D348" s="9" t="s">
        <v>110</v>
      </c>
      <c r="E348" s="9">
        <v>34</v>
      </c>
      <c r="F348" s="20">
        <v>44258</v>
      </c>
      <c r="G348" s="20">
        <v>45187</v>
      </c>
      <c r="H348" s="9" t="s">
        <v>103</v>
      </c>
      <c r="I348" s="21">
        <v>117400</v>
      </c>
      <c r="J348" s="9">
        <v>3</v>
      </c>
      <c r="K348" s="9">
        <v>2</v>
      </c>
      <c r="L348" s="9" t="s">
        <v>70</v>
      </c>
      <c r="M348" s="9" t="s">
        <v>80</v>
      </c>
      <c r="N348" s="9">
        <f>ROUND((IF(G348="",Analysis!$B$2,G348)-F348)/365.25,1)</f>
        <v>2.5</v>
      </c>
      <c r="O348" s="9">
        <f>IF(G348="","",YEAR(G348))</f>
        <v>2023</v>
      </c>
      <c r="P348" s="9" t="str">
        <f>IF(E348&lt;30,"&lt;30",IF(E348&lt;40,"30-39","40+"))</f>
        <v>30-39</v>
      </c>
    </row>
    <row r="349" spans="1:16" x14ac:dyDescent="0.25">
      <c r="A349" s="9" t="s">
        <v>464</v>
      </c>
      <c r="B349" s="9" t="s">
        <v>59</v>
      </c>
      <c r="C349" s="9" t="s">
        <v>134</v>
      </c>
      <c r="D349" s="9" t="s">
        <v>110</v>
      </c>
      <c r="E349" s="9">
        <v>29</v>
      </c>
      <c r="F349" s="20">
        <v>45362</v>
      </c>
      <c r="G349" s="20"/>
      <c r="H349" s="9" t="s">
        <v>51</v>
      </c>
      <c r="I349" s="21">
        <v>122500</v>
      </c>
      <c r="J349" s="9">
        <v>3</v>
      </c>
      <c r="K349" s="9">
        <v>3</v>
      </c>
      <c r="L349" s="9" t="s">
        <v>71</v>
      </c>
      <c r="M349" s="9"/>
      <c r="N349" s="9">
        <f>ROUND((IF(G349="",Analysis!$B$2,G349)-F349)/365.25,1)</f>
        <v>2.6</v>
      </c>
      <c r="O349" s="9" t="str">
        <f>IF(G349="","",YEAR(G349))</f>
        <v/>
      </c>
      <c r="P349" s="9" t="str">
        <f>IF(E349&lt;30,"&lt;30",IF(E349&lt;40,"30-39","40+"))</f>
        <v>&lt;30</v>
      </c>
    </row>
    <row r="350" spans="1:16" x14ac:dyDescent="0.25">
      <c r="A350" s="9" t="s">
        <v>484</v>
      </c>
      <c r="B350" s="9" t="s">
        <v>59</v>
      </c>
      <c r="C350" s="9" t="s">
        <v>134</v>
      </c>
      <c r="D350" s="9" t="s">
        <v>102</v>
      </c>
      <c r="E350" s="9">
        <v>41</v>
      </c>
      <c r="F350" s="20">
        <v>45801</v>
      </c>
      <c r="G350" s="20">
        <v>46148</v>
      </c>
      <c r="H350" s="9" t="s">
        <v>103</v>
      </c>
      <c r="I350" s="21">
        <v>123500</v>
      </c>
      <c r="J350" s="9">
        <v>3</v>
      </c>
      <c r="K350" s="9">
        <v>1</v>
      </c>
      <c r="L350" s="9" t="s">
        <v>71</v>
      </c>
      <c r="M350" s="9" t="s">
        <v>81</v>
      </c>
      <c r="N350" s="9">
        <f>ROUND((IF(G350="",Analysis!$B$2,G350)-F350)/365.25,1)</f>
        <v>1</v>
      </c>
      <c r="O350" s="9">
        <f>IF(G350="","",YEAR(G350))</f>
        <v>2026</v>
      </c>
      <c r="P350" s="9" t="str">
        <f>IF(E350&lt;30,"&lt;30",IF(E350&lt;40,"30-39","40+"))</f>
        <v>40+</v>
      </c>
    </row>
    <row r="351" spans="1:16" x14ac:dyDescent="0.25">
      <c r="A351" s="9" t="s">
        <v>440</v>
      </c>
      <c r="B351" s="9" t="s">
        <v>59</v>
      </c>
      <c r="C351" s="9" t="s">
        <v>163</v>
      </c>
      <c r="D351" s="9" t="s">
        <v>102</v>
      </c>
      <c r="E351" s="9">
        <v>28</v>
      </c>
      <c r="F351" s="20">
        <v>46220</v>
      </c>
      <c r="G351" s="20"/>
      <c r="H351" s="9" t="s">
        <v>51</v>
      </c>
      <c r="I351" s="21">
        <v>124300</v>
      </c>
      <c r="J351" s="9">
        <v>3</v>
      </c>
      <c r="K351" s="9">
        <v>5</v>
      </c>
      <c r="L351" s="9" t="s">
        <v>71</v>
      </c>
      <c r="M351" s="9"/>
      <c r="N351" s="9">
        <f>ROUND((IF(G351="",Analysis!$B$2,G351)-F351)/365.25,1)</f>
        <v>0.3</v>
      </c>
      <c r="O351" s="9" t="str">
        <f>IF(G351="","",YEAR(G351))</f>
        <v/>
      </c>
      <c r="P351" s="9" t="str">
        <f>IF(E351&lt;30,"&lt;30",IF(E351&lt;40,"30-39","40+"))</f>
        <v>&lt;30</v>
      </c>
    </row>
    <row r="352" spans="1:16" x14ac:dyDescent="0.25">
      <c r="A352" s="9" t="s">
        <v>218</v>
      </c>
      <c r="B352" s="9" t="s">
        <v>59</v>
      </c>
      <c r="C352" s="9" t="s">
        <v>163</v>
      </c>
      <c r="D352" s="9" t="s">
        <v>102</v>
      </c>
      <c r="E352" s="9">
        <v>33</v>
      </c>
      <c r="F352" s="20">
        <v>45407</v>
      </c>
      <c r="G352" s="20"/>
      <c r="H352" s="9" t="s">
        <v>51</v>
      </c>
      <c r="I352" s="21">
        <v>127300</v>
      </c>
      <c r="J352" s="9">
        <v>3</v>
      </c>
      <c r="K352" s="9">
        <v>4</v>
      </c>
      <c r="L352" s="9" t="s">
        <v>71</v>
      </c>
      <c r="M352" s="9"/>
      <c r="N352" s="9">
        <f>ROUND((IF(G352="",Analysis!$B$2,G352)-F352)/365.25,1)</f>
        <v>2.5</v>
      </c>
      <c r="O352" s="9" t="str">
        <f>IF(G352="","",YEAR(G352))</f>
        <v/>
      </c>
      <c r="P352" s="9" t="str">
        <f>IF(E352&lt;30,"&lt;30",IF(E352&lt;40,"30-39","40+"))</f>
        <v>30-39</v>
      </c>
    </row>
    <row r="353" spans="1:16" x14ac:dyDescent="0.25">
      <c r="A353" s="9" t="s">
        <v>615</v>
      </c>
      <c r="B353" s="9" t="s">
        <v>59</v>
      </c>
      <c r="C353" s="9" t="s">
        <v>134</v>
      </c>
      <c r="D353" s="9" t="s">
        <v>110</v>
      </c>
      <c r="E353" s="9">
        <v>29</v>
      </c>
      <c r="F353" s="20">
        <v>45465</v>
      </c>
      <c r="G353" s="20"/>
      <c r="H353" s="9" t="s">
        <v>51</v>
      </c>
      <c r="I353" s="21">
        <v>129100</v>
      </c>
      <c r="J353" s="9">
        <v>3</v>
      </c>
      <c r="K353" s="9">
        <v>5</v>
      </c>
      <c r="L353" s="9" t="s">
        <v>70</v>
      </c>
      <c r="M353" s="9"/>
      <c r="N353" s="9">
        <f>ROUND((IF(G353="",Analysis!$B$2,G353)-F353)/365.25,1)</f>
        <v>2.2999999999999998</v>
      </c>
      <c r="O353" s="9" t="str">
        <f>IF(G353="","",YEAR(G353))</f>
        <v/>
      </c>
      <c r="P353" s="9" t="str">
        <f>IF(E353&lt;30,"&lt;30",IF(E353&lt;40,"30-39","40+"))</f>
        <v>&lt;30</v>
      </c>
    </row>
    <row r="354" spans="1:16" x14ac:dyDescent="0.25">
      <c r="A354" s="9" t="s">
        <v>599</v>
      </c>
      <c r="B354" s="9" t="s">
        <v>59</v>
      </c>
      <c r="C354" s="9" t="s">
        <v>134</v>
      </c>
      <c r="D354" s="9" t="s">
        <v>102</v>
      </c>
      <c r="E354" s="9">
        <v>33</v>
      </c>
      <c r="F354" s="20">
        <v>45617</v>
      </c>
      <c r="G354" s="20"/>
      <c r="H354" s="9" t="s">
        <v>51</v>
      </c>
      <c r="I354" s="21">
        <v>130000</v>
      </c>
      <c r="J354" s="9">
        <v>3</v>
      </c>
      <c r="K354" s="9">
        <v>4</v>
      </c>
      <c r="L354" s="9" t="s">
        <v>71</v>
      </c>
      <c r="M354" s="9"/>
      <c r="N354" s="9">
        <f>ROUND((IF(G354="",Analysis!$B$2,G354)-F354)/365.25,1)</f>
        <v>1.9</v>
      </c>
      <c r="O354" s="9" t="str">
        <f>IF(G354="","",YEAR(G354))</f>
        <v/>
      </c>
      <c r="P354" s="9" t="str">
        <f>IF(E354&lt;30,"&lt;30",IF(E354&lt;40,"30-39","40+"))</f>
        <v>30-39</v>
      </c>
    </row>
    <row r="355" spans="1:16" x14ac:dyDescent="0.25">
      <c r="A355" s="9" t="s">
        <v>133</v>
      </c>
      <c r="B355" s="9" t="s">
        <v>59</v>
      </c>
      <c r="C355" s="9" t="s">
        <v>134</v>
      </c>
      <c r="D355" s="9" t="s">
        <v>110</v>
      </c>
      <c r="E355" s="9">
        <v>33</v>
      </c>
      <c r="F355" s="20">
        <v>43539</v>
      </c>
      <c r="G355" s="20"/>
      <c r="H355" s="9" t="s">
        <v>51</v>
      </c>
      <c r="I355" s="21">
        <v>135100</v>
      </c>
      <c r="J355" s="9">
        <v>3</v>
      </c>
      <c r="K355" s="9">
        <v>3</v>
      </c>
      <c r="L355" s="9" t="s">
        <v>71</v>
      </c>
      <c r="M355" s="9"/>
      <c r="N355" s="9">
        <f>ROUND((IF(G355="",Analysis!$B$2,G355)-F355)/365.25,1)</f>
        <v>7.6</v>
      </c>
      <c r="O355" s="9" t="str">
        <f>IF(G355="","",YEAR(G355))</f>
        <v/>
      </c>
      <c r="P355" s="9" t="str">
        <f>IF(E355&lt;30,"&lt;30",IF(E355&lt;40,"30-39","40+"))</f>
        <v>30-39</v>
      </c>
    </row>
    <row r="356" spans="1:16" x14ac:dyDescent="0.25">
      <c r="A356" s="9" t="s">
        <v>622</v>
      </c>
      <c r="B356" s="9" t="s">
        <v>59</v>
      </c>
      <c r="C356" s="9" t="s">
        <v>163</v>
      </c>
      <c r="D356" s="9" t="s">
        <v>110</v>
      </c>
      <c r="E356" s="9">
        <v>40</v>
      </c>
      <c r="F356" s="20">
        <v>46022</v>
      </c>
      <c r="G356" s="20">
        <v>46264</v>
      </c>
      <c r="H356" s="9" t="s">
        <v>103</v>
      </c>
      <c r="I356" s="21">
        <v>135600</v>
      </c>
      <c r="J356" s="9">
        <v>3</v>
      </c>
      <c r="K356" s="9">
        <v>3</v>
      </c>
      <c r="L356" s="9" t="s">
        <v>71</v>
      </c>
      <c r="M356" s="9" t="s">
        <v>80</v>
      </c>
      <c r="N356" s="9">
        <f>ROUND((IF(G356="",Analysis!$B$2,G356)-F356)/365.25,1)</f>
        <v>0.7</v>
      </c>
      <c r="O356" s="9">
        <f>IF(G356="","",YEAR(G356))</f>
        <v>2026</v>
      </c>
      <c r="P356" s="9" t="str">
        <f>IF(E356&lt;30,"&lt;30",IF(E356&lt;40,"30-39","40+"))</f>
        <v>40+</v>
      </c>
    </row>
    <row r="357" spans="1:16" x14ac:dyDescent="0.25">
      <c r="A357" s="9" t="s">
        <v>580</v>
      </c>
      <c r="B357" s="9" t="s">
        <v>59</v>
      </c>
      <c r="C357" s="9" t="s">
        <v>134</v>
      </c>
      <c r="D357" s="9" t="s">
        <v>110</v>
      </c>
      <c r="E357" s="9">
        <v>26</v>
      </c>
      <c r="F357" s="20">
        <v>46079</v>
      </c>
      <c r="G357" s="20">
        <v>46273</v>
      </c>
      <c r="H357" s="9" t="s">
        <v>103</v>
      </c>
      <c r="I357" s="21">
        <v>135800</v>
      </c>
      <c r="J357" s="9">
        <v>3</v>
      </c>
      <c r="K357" s="9">
        <v>4</v>
      </c>
      <c r="L357" s="9" t="s">
        <v>71</v>
      </c>
      <c r="M357" s="9" t="s">
        <v>84</v>
      </c>
      <c r="N357" s="9">
        <f>ROUND((IF(G357="",Analysis!$B$2,G357)-F357)/365.25,1)</f>
        <v>0.5</v>
      </c>
      <c r="O357" s="9">
        <f>IF(G357="","",YEAR(G357))</f>
        <v>2026</v>
      </c>
      <c r="P357" s="9" t="str">
        <f>IF(E357&lt;30,"&lt;30",IF(E357&lt;40,"30-39","40+"))</f>
        <v>&lt;30</v>
      </c>
    </row>
    <row r="358" spans="1:16" x14ac:dyDescent="0.25">
      <c r="A358" s="9" t="s">
        <v>280</v>
      </c>
      <c r="B358" s="9" t="s">
        <v>59</v>
      </c>
      <c r="C358" s="9" t="s">
        <v>163</v>
      </c>
      <c r="D358" s="9" t="s">
        <v>110</v>
      </c>
      <c r="E358" s="9">
        <v>26</v>
      </c>
      <c r="F358" s="20">
        <v>43576</v>
      </c>
      <c r="G358" s="20"/>
      <c r="H358" s="9" t="s">
        <v>51</v>
      </c>
      <c r="I358" s="21">
        <v>139500</v>
      </c>
      <c r="J358" s="9">
        <v>3</v>
      </c>
      <c r="K358" s="9">
        <v>4</v>
      </c>
      <c r="L358" s="9" t="s">
        <v>71</v>
      </c>
      <c r="M358" s="9"/>
      <c r="N358" s="9">
        <f>ROUND((IF(G358="",Analysis!$B$2,G358)-F358)/365.25,1)</f>
        <v>7.5</v>
      </c>
      <c r="O358" s="9" t="str">
        <f>IF(G358="","",YEAR(G358))</f>
        <v/>
      </c>
      <c r="P358" s="9" t="str">
        <f>IF(E358&lt;30,"&lt;30",IF(E358&lt;40,"30-39","40+"))</f>
        <v>&lt;30</v>
      </c>
    </row>
    <row r="359" spans="1:16" x14ac:dyDescent="0.25">
      <c r="A359" s="9" t="s">
        <v>439</v>
      </c>
      <c r="B359" s="9" t="s">
        <v>59</v>
      </c>
      <c r="C359" s="9" t="s">
        <v>163</v>
      </c>
      <c r="D359" s="9" t="s">
        <v>102</v>
      </c>
      <c r="E359" s="9">
        <v>26</v>
      </c>
      <c r="F359" s="20">
        <v>44721</v>
      </c>
      <c r="G359" s="20"/>
      <c r="H359" s="9" t="s">
        <v>51</v>
      </c>
      <c r="I359" s="21">
        <v>141500</v>
      </c>
      <c r="J359" s="9">
        <v>3</v>
      </c>
      <c r="K359" s="9">
        <v>4</v>
      </c>
      <c r="L359" s="9" t="s">
        <v>70</v>
      </c>
      <c r="M359" s="9"/>
      <c r="N359" s="9">
        <f>ROUND((IF(G359="",Analysis!$B$2,G359)-F359)/365.25,1)</f>
        <v>4.4000000000000004</v>
      </c>
      <c r="O359" s="9" t="str">
        <f>IF(G359="","",YEAR(G359))</f>
        <v/>
      </c>
      <c r="P359" s="9" t="str">
        <f>IF(E359&lt;30,"&lt;30",IF(E359&lt;40,"30-39","40+"))</f>
        <v>&lt;30</v>
      </c>
    </row>
    <row r="360" spans="1:16" x14ac:dyDescent="0.25">
      <c r="A360" s="9" t="s">
        <v>260</v>
      </c>
      <c r="B360" s="9" t="s">
        <v>59</v>
      </c>
      <c r="C360" s="9" t="s">
        <v>163</v>
      </c>
      <c r="D360" s="9" t="s">
        <v>110</v>
      </c>
      <c r="E360" s="9">
        <v>27</v>
      </c>
      <c r="F360" s="20">
        <v>44092</v>
      </c>
      <c r="G360" s="20"/>
      <c r="H360" s="9" t="s">
        <v>51</v>
      </c>
      <c r="I360" s="21">
        <v>151200</v>
      </c>
      <c r="J360" s="9">
        <v>3</v>
      </c>
      <c r="K360" s="9">
        <v>2</v>
      </c>
      <c r="L360" s="9" t="s">
        <v>70</v>
      </c>
      <c r="M360" s="9"/>
      <c r="N360" s="9">
        <f>ROUND((IF(G360="",Analysis!$B$2,G360)-F360)/365.25,1)</f>
        <v>6.1</v>
      </c>
      <c r="O360" s="9" t="str">
        <f>IF(G360="","",YEAR(G360))</f>
        <v/>
      </c>
      <c r="P360" s="9" t="str">
        <f>IF(E360&lt;30,"&lt;30",IF(E360&lt;40,"30-39","40+"))</f>
        <v>&lt;30</v>
      </c>
    </row>
    <row r="361" spans="1:16" x14ac:dyDescent="0.25">
      <c r="A361" s="9" t="s">
        <v>673</v>
      </c>
      <c r="B361" s="9" t="s">
        <v>59</v>
      </c>
      <c r="C361" s="9" t="s">
        <v>163</v>
      </c>
      <c r="D361" s="9" t="s">
        <v>102</v>
      </c>
      <c r="E361" s="9">
        <v>29</v>
      </c>
      <c r="F361" s="20">
        <v>46015</v>
      </c>
      <c r="G361" s="20">
        <v>46296</v>
      </c>
      <c r="H361" s="9" t="s">
        <v>103</v>
      </c>
      <c r="I361" s="21">
        <v>157200</v>
      </c>
      <c r="J361" s="9">
        <v>3</v>
      </c>
      <c r="K361" s="9">
        <v>1</v>
      </c>
      <c r="L361" s="9" t="s">
        <v>70</v>
      </c>
      <c r="M361" s="9" t="s">
        <v>79</v>
      </c>
      <c r="N361" s="9">
        <f>ROUND((IF(G361="",Analysis!$B$2,G361)-F361)/365.25,1)</f>
        <v>0.8</v>
      </c>
      <c r="O361" s="9">
        <f>IF(G361="","",YEAR(G361))</f>
        <v>2026</v>
      </c>
      <c r="P361" s="9" t="str">
        <f>IF(E361&lt;30,"&lt;30",IF(E361&lt;40,"30-39","40+"))</f>
        <v>&lt;30</v>
      </c>
    </row>
    <row r="362" spans="1:16" x14ac:dyDescent="0.25">
      <c r="A362" s="9" t="s">
        <v>388</v>
      </c>
      <c r="B362" s="9" t="s">
        <v>59</v>
      </c>
      <c r="C362" s="9" t="s">
        <v>163</v>
      </c>
      <c r="D362" s="9" t="s">
        <v>102</v>
      </c>
      <c r="E362" s="9">
        <v>34</v>
      </c>
      <c r="F362" s="20">
        <v>44558</v>
      </c>
      <c r="G362" s="20"/>
      <c r="H362" s="9" t="s">
        <v>51</v>
      </c>
      <c r="I362" s="21">
        <v>164900</v>
      </c>
      <c r="J362" s="9">
        <v>3</v>
      </c>
      <c r="K362" s="9">
        <v>1</v>
      </c>
      <c r="L362" s="9" t="s">
        <v>71</v>
      </c>
      <c r="M362" s="9"/>
      <c r="N362" s="9">
        <f>ROUND((IF(G362="",Analysis!$B$2,G362)-F362)/365.25,1)</f>
        <v>4.8</v>
      </c>
      <c r="O362" s="9" t="str">
        <f>IF(G362="","",YEAR(G362))</f>
        <v/>
      </c>
      <c r="P362" s="9" t="str">
        <f>IF(E362&lt;30,"&lt;30",IF(E362&lt;40,"30-39","40+"))</f>
        <v>30-39</v>
      </c>
    </row>
    <row r="363" spans="1:16" x14ac:dyDescent="0.25">
      <c r="A363" s="9" t="s">
        <v>679</v>
      </c>
      <c r="B363" s="9" t="s">
        <v>58</v>
      </c>
      <c r="C363" s="9" t="s">
        <v>128</v>
      </c>
      <c r="D363" s="9" t="s">
        <v>110</v>
      </c>
      <c r="E363" s="9">
        <v>37</v>
      </c>
      <c r="F363" s="20">
        <v>44727</v>
      </c>
      <c r="G363" s="20"/>
      <c r="H363" s="9" t="s">
        <v>51</v>
      </c>
      <c r="I363" s="21">
        <v>30700</v>
      </c>
      <c r="J363" s="9">
        <v>4</v>
      </c>
      <c r="K363" s="9">
        <v>2</v>
      </c>
      <c r="L363" s="9" t="s">
        <v>71</v>
      </c>
      <c r="M363" s="9"/>
      <c r="N363" s="9">
        <f>ROUND((IF(G363="",Analysis!$B$2,G363)-F363)/365.25,1)</f>
        <v>4.4000000000000004</v>
      </c>
      <c r="O363" s="9" t="str">
        <f>IF(G363="","",YEAR(G363))</f>
        <v/>
      </c>
      <c r="P363" s="9" t="str">
        <f>IF(E363&lt;30,"&lt;30",IF(E363&lt;40,"30-39","40+"))</f>
        <v>30-39</v>
      </c>
    </row>
    <row r="364" spans="1:16" x14ac:dyDescent="0.25">
      <c r="A364" s="9" t="s">
        <v>275</v>
      </c>
      <c r="B364" s="9" t="s">
        <v>58</v>
      </c>
      <c r="C364" s="9" t="s">
        <v>128</v>
      </c>
      <c r="D364" s="9" t="s">
        <v>110</v>
      </c>
      <c r="E364" s="9">
        <v>32</v>
      </c>
      <c r="F364" s="20">
        <v>45036</v>
      </c>
      <c r="G364" s="20">
        <v>45432</v>
      </c>
      <c r="H364" s="9" t="s">
        <v>103</v>
      </c>
      <c r="I364" s="21">
        <v>30800</v>
      </c>
      <c r="J364" s="9">
        <v>4</v>
      </c>
      <c r="K364" s="9">
        <v>2</v>
      </c>
      <c r="L364" s="9" t="s">
        <v>71</v>
      </c>
      <c r="M364" s="9" t="s">
        <v>81</v>
      </c>
      <c r="N364" s="9">
        <f>ROUND((IF(G364="",Analysis!$B$2,G364)-F364)/365.25,1)</f>
        <v>1.1000000000000001</v>
      </c>
      <c r="O364" s="9">
        <f>IF(G364="","",YEAR(G364))</f>
        <v>2024</v>
      </c>
      <c r="P364" s="9" t="str">
        <f>IF(E364&lt;30,"&lt;30",IF(E364&lt;40,"30-39","40+"))</f>
        <v>30-39</v>
      </c>
    </row>
    <row r="365" spans="1:16" x14ac:dyDescent="0.25">
      <c r="A365" s="9" t="s">
        <v>577</v>
      </c>
      <c r="B365" s="9" t="s">
        <v>58</v>
      </c>
      <c r="C365" s="9" t="s">
        <v>128</v>
      </c>
      <c r="D365" s="9" t="s">
        <v>110</v>
      </c>
      <c r="E365" s="9">
        <v>34</v>
      </c>
      <c r="F365" s="20">
        <v>45688</v>
      </c>
      <c r="G365" s="20">
        <v>45820</v>
      </c>
      <c r="H365" s="9" t="s">
        <v>103</v>
      </c>
      <c r="I365" s="21">
        <v>31200</v>
      </c>
      <c r="J365" s="9">
        <v>4</v>
      </c>
      <c r="K365" s="9">
        <v>2</v>
      </c>
      <c r="L365" s="9" t="s">
        <v>70</v>
      </c>
      <c r="M365" s="9" t="s">
        <v>80</v>
      </c>
      <c r="N365" s="9">
        <f>ROUND((IF(G365="",Analysis!$B$2,G365)-F365)/365.25,1)</f>
        <v>0.4</v>
      </c>
      <c r="O365" s="9">
        <f>IF(G365="","",YEAR(G365))</f>
        <v>2025</v>
      </c>
      <c r="P365" s="9" t="str">
        <f>IF(E365&lt;30,"&lt;30",IF(E365&lt;40,"30-39","40+"))</f>
        <v>30-39</v>
      </c>
    </row>
    <row r="366" spans="1:16" x14ac:dyDescent="0.25">
      <c r="A366" s="9" t="s">
        <v>185</v>
      </c>
      <c r="B366" s="9" t="s">
        <v>58</v>
      </c>
      <c r="C366" s="9" t="s">
        <v>128</v>
      </c>
      <c r="D366" s="9" t="s">
        <v>102</v>
      </c>
      <c r="E366" s="9">
        <v>35</v>
      </c>
      <c r="F366" s="20">
        <v>44943</v>
      </c>
      <c r="G366" s="20">
        <v>46271</v>
      </c>
      <c r="H366" s="9" t="s">
        <v>103</v>
      </c>
      <c r="I366" s="21">
        <v>31200</v>
      </c>
      <c r="J366" s="9">
        <v>4</v>
      </c>
      <c r="K366" s="9">
        <v>2</v>
      </c>
      <c r="L366" s="9" t="s">
        <v>71</v>
      </c>
      <c r="M366" s="9" t="s">
        <v>81</v>
      </c>
      <c r="N366" s="9">
        <f>ROUND((IF(G366="",Analysis!$B$2,G366)-F366)/365.25,1)</f>
        <v>3.6</v>
      </c>
      <c r="O366" s="9">
        <f>IF(G366="","",YEAR(G366))</f>
        <v>2026</v>
      </c>
      <c r="P366" s="9" t="str">
        <f>IF(E366&lt;30,"&lt;30",IF(E366&lt;40,"30-39","40+"))</f>
        <v>30-39</v>
      </c>
    </row>
    <row r="367" spans="1:16" x14ac:dyDescent="0.25">
      <c r="A367" s="9" t="s">
        <v>278</v>
      </c>
      <c r="B367" s="9" t="s">
        <v>58</v>
      </c>
      <c r="C367" s="9" t="s">
        <v>128</v>
      </c>
      <c r="D367" s="9" t="s">
        <v>110</v>
      </c>
      <c r="E367" s="9">
        <v>27</v>
      </c>
      <c r="F367" s="20">
        <v>43380</v>
      </c>
      <c r="G367" s="20"/>
      <c r="H367" s="9" t="s">
        <v>51</v>
      </c>
      <c r="I367" s="21">
        <v>34500</v>
      </c>
      <c r="J367" s="9">
        <v>4</v>
      </c>
      <c r="K367" s="9">
        <v>4</v>
      </c>
      <c r="L367" s="9" t="s">
        <v>71</v>
      </c>
      <c r="M367" s="9"/>
      <c r="N367" s="9">
        <f>ROUND((IF(G367="",Analysis!$B$2,G367)-F367)/365.25,1)</f>
        <v>8.1</v>
      </c>
      <c r="O367" s="9" t="str">
        <f>IF(G367="","",YEAR(G367))</f>
        <v/>
      </c>
      <c r="P367" s="9" t="str">
        <f>IF(E367&lt;30,"&lt;30",IF(E367&lt;40,"30-39","40+"))</f>
        <v>&lt;30</v>
      </c>
    </row>
    <row r="368" spans="1:16" x14ac:dyDescent="0.25">
      <c r="A368" s="9" t="s">
        <v>459</v>
      </c>
      <c r="B368" s="9" t="s">
        <v>62</v>
      </c>
      <c r="C368" s="9" t="s">
        <v>109</v>
      </c>
      <c r="D368" s="9" t="s">
        <v>110</v>
      </c>
      <c r="E368" s="9">
        <v>31</v>
      </c>
      <c r="F368" s="20">
        <v>43798</v>
      </c>
      <c r="G368" s="20"/>
      <c r="H368" s="9" t="s">
        <v>51</v>
      </c>
      <c r="I368" s="21">
        <v>34900</v>
      </c>
      <c r="J368" s="9">
        <v>4</v>
      </c>
      <c r="K368" s="9">
        <v>2</v>
      </c>
      <c r="L368" s="9" t="s">
        <v>70</v>
      </c>
      <c r="M368" s="9"/>
      <c r="N368" s="9">
        <f>ROUND((IF(G368="",Analysis!$B$2,G368)-F368)/365.25,1)</f>
        <v>6.9</v>
      </c>
      <c r="O368" s="9" t="str">
        <f>IF(G368="","",YEAR(G368))</f>
        <v/>
      </c>
      <c r="P368" s="9" t="str">
        <f>IF(E368&lt;30,"&lt;30",IF(E368&lt;40,"30-39","40+"))</f>
        <v>30-39</v>
      </c>
    </row>
    <row r="369" spans="1:16" x14ac:dyDescent="0.25">
      <c r="A369" s="9" t="s">
        <v>244</v>
      </c>
      <c r="B369" s="9" t="s">
        <v>62</v>
      </c>
      <c r="C369" s="9" t="s">
        <v>109</v>
      </c>
      <c r="D369" s="9" t="s">
        <v>110</v>
      </c>
      <c r="E369" s="9">
        <v>38</v>
      </c>
      <c r="F369" s="20">
        <v>44125</v>
      </c>
      <c r="G369" s="20"/>
      <c r="H369" s="9" t="s">
        <v>51</v>
      </c>
      <c r="I369" s="21">
        <v>35600</v>
      </c>
      <c r="J369" s="9">
        <v>4</v>
      </c>
      <c r="K369" s="9">
        <v>4</v>
      </c>
      <c r="L369" s="9" t="s">
        <v>71</v>
      </c>
      <c r="M369" s="9"/>
      <c r="N369" s="9">
        <f>ROUND((IF(G369="",Analysis!$B$2,G369)-F369)/365.25,1)</f>
        <v>6</v>
      </c>
      <c r="O369" s="9" t="str">
        <f>IF(G369="","",YEAR(G369))</f>
        <v/>
      </c>
      <c r="P369" s="9" t="str">
        <f>IF(E369&lt;30,"&lt;30",IF(E369&lt;40,"30-39","40+"))</f>
        <v>30-39</v>
      </c>
    </row>
    <row r="370" spans="1:16" x14ac:dyDescent="0.25">
      <c r="A370" s="9" t="s">
        <v>323</v>
      </c>
      <c r="B370" s="9" t="s">
        <v>58</v>
      </c>
      <c r="C370" s="9" t="s">
        <v>128</v>
      </c>
      <c r="D370" s="9" t="s">
        <v>110</v>
      </c>
      <c r="E370" s="9">
        <v>33</v>
      </c>
      <c r="F370" s="20">
        <v>45717</v>
      </c>
      <c r="G370" s="20"/>
      <c r="H370" s="9" t="s">
        <v>51</v>
      </c>
      <c r="I370" s="21">
        <v>36300</v>
      </c>
      <c r="J370" s="9">
        <v>4</v>
      </c>
      <c r="K370" s="9">
        <v>3</v>
      </c>
      <c r="L370" s="9" t="s">
        <v>71</v>
      </c>
      <c r="M370" s="9"/>
      <c r="N370" s="9">
        <f>ROUND((IF(G370="",Analysis!$B$2,G370)-F370)/365.25,1)</f>
        <v>1.7</v>
      </c>
      <c r="O370" s="9" t="str">
        <f>IF(G370="","",YEAR(G370))</f>
        <v/>
      </c>
      <c r="P370" s="9" t="str">
        <f>IF(E370&lt;30,"&lt;30",IF(E370&lt;40,"30-39","40+"))</f>
        <v>30-39</v>
      </c>
    </row>
    <row r="371" spans="1:16" x14ac:dyDescent="0.25">
      <c r="A371" s="9" t="s">
        <v>151</v>
      </c>
      <c r="B371" s="9" t="s">
        <v>62</v>
      </c>
      <c r="C371" s="9" t="s">
        <v>109</v>
      </c>
      <c r="D371" s="9" t="s">
        <v>102</v>
      </c>
      <c r="E371" s="9">
        <v>22</v>
      </c>
      <c r="F371" s="20">
        <v>45927</v>
      </c>
      <c r="G371" s="20"/>
      <c r="H371" s="9" t="s">
        <v>51</v>
      </c>
      <c r="I371" s="21">
        <v>36500</v>
      </c>
      <c r="J371" s="9">
        <v>4</v>
      </c>
      <c r="K371" s="9">
        <v>2</v>
      </c>
      <c r="L371" s="9" t="s">
        <v>71</v>
      </c>
      <c r="M371" s="9"/>
      <c r="N371" s="9">
        <f>ROUND((IF(G371="",Analysis!$B$2,G371)-F371)/365.25,1)</f>
        <v>1.1000000000000001</v>
      </c>
      <c r="O371" s="9" t="str">
        <f>IF(G371="","",YEAR(G371))</f>
        <v/>
      </c>
      <c r="P371" s="9" t="str">
        <f>IF(E371&lt;30,"&lt;30",IF(E371&lt;40,"30-39","40+"))</f>
        <v>&lt;30</v>
      </c>
    </row>
    <row r="372" spans="1:16" x14ac:dyDescent="0.25">
      <c r="A372" s="9" t="s">
        <v>425</v>
      </c>
      <c r="B372" s="9" t="s">
        <v>58</v>
      </c>
      <c r="C372" s="9" t="s">
        <v>128</v>
      </c>
      <c r="D372" s="9" t="s">
        <v>110</v>
      </c>
      <c r="E372" s="9">
        <v>21</v>
      </c>
      <c r="F372" s="20">
        <v>43243</v>
      </c>
      <c r="G372" s="20"/>
      <c r="H372" s="9" t="s">
        <v>51</v>
      </c>
      <c r="I372" s="21">
        <v>38200</v>
      </c>
      <c r="J372" s="9">
        <v>4</v>
      </c>
      <c r="K372" s="9">
        <v>2</v>
      </c>
      <c r="L372" s="9" t="s">
        <v>70</v>
      </c>
      <c r="M372" s="9"/>
      <c r="N372" s="9">
        <f>ROUND((IF(G372="",Analysis!$B$2,G372)-F372)/365.25,1)</f>
        <v>8.4</v>
      </c>
      <c r="O372" s="9" t="str">
        <f>IF(G372="","",YEAR(G372))</f>
        <v/>
      </c>
      <c r="P372" s="9" t="str">
        <f>IF(E372&lt;30,"&lt;30",IF(E372&lt;40,"30-39","40+"))</f>
        <v>&lt;30</v>
      </c>
    </row>
    <row r="373" spans="1:16" x14ac:dyDescent="0.25">
      <c r="A373" s="9" t="s">
        <v>341</v>
      </c>
      <c r="B373" s="9" t="s">
        <v>62</v>
      </c>
      <c r="C373" s="9" t="s">
        <v>109</v>
      </c>
      <c r="D373" s="9" t="s">
        <v>110</v>
      </c>
      <c r="E373" s="9">
        <v>43</v>
      </c>
      <c r="F373" s="20">
        <v>45652</v>
      </c>
      <c r="G373" s="20"/>
      <c r="H373" s="9" t="s">
        <v>51</v>
      </c>
      <c r="I373" s="21">
        <v>39300</v>
      </c>
      <c r="J373" s="9">
        <v>4</v>
      </c>
      <c r="K373" s="9">
        <v>2</v>
      </c>
      <c r="L373" s="9" t="s">
        <v>71</v>
      </c>
      <c r="M373" s="9"/>
      <c r="N373" s="9">
        <f>ROUND((IF(G373="",Analysis!$B$2,G373)-F373)/365.25,1)</f>
        <v>1.8</v>
      </c>
      <c r="O373" s="9" t="str">
        <f>IF(G373="","",YEAR(G373))</f>
        <v/>
      </c>
      <c r="P373" s="9" t="str">
        <f>IF(E373&lt;30,"&lt;30",IF(E373&lt;40,"30-39","40+"))</f>
        <v>40+</v>
      </c>
    </row>
    <row r="374" spans="1:16" x14ac:dyDescent="0.25">
      <c r="A374" s="9" t="s">
        <v>354</v>
      </c>
      <c r="B374" s="9" t="s">
        <v>62</v>
      </c>
      <c r="C374" s="9" t="s">
        <v>109</v>
      </c>
      <c r="D374" s="9" t="s">
        <v>110</v>
      </c>
      <c r="E374" s="9">
        <v>31</v>
      </c>
      <c r="F374" s="20">
        <v>45233</v>
      </c>
      <c r="G374" s="20"/>
      <c r="H374" s="9" t="s">
        <v>51</v>
      </c>
      <c r="I374" s="21">
        <v>39800</v>
      </c>
      <c r="J374" s="9">
        <v>4</v>
      </c>
      <c r="K374" s="9">
        <v>4</v>
      </c>
      <c r="L374" s="9" t="s">
        <v>71</v>
      </c>
      <c r="M374" s="9"/>
      <c r="N374" s="9">
        <f>ROUND((IF(G374="",Analysis!$B$2,G374)-F374)/365.25,1)</f>
        <v>3</v>
      </c>
      <c r="O374" s="9" t="str">
        <f>IF(G374="","",YEAR(G374))</f>
        <v/>
      </c>
      <c r="P374" s="9" t="str">
        <f>IF(E374&lt;30,"&lt;30",IF(E374&lt;40,"30-39","40+"))</f>
        <v>30-39</v>
      </c>
    </row>
    <row r="375" spans="1:16" x14ac:dyDescent="0.25">
      <c r="A375" s="9" t="s">
        <v>654</v>
      </c>
      <c r="B375" s="9" t="s">
        <v>62</v>
      </c>
      <c r="C375" s="9" t="s">
        <v>109</v>
      </c>
      <c r="D375" s="9" t="s">
        <v>110</v>
      </c>
      <c r="E375" s="9">
        <v>33</v>
      </c>
      <c r="F375" s="20">
        <v>44546</v>
      </c>
      <c r="G375" s="20"/>
      <c r="H375" s="9" t="s">
        <v>51</v>
      </c>
      <c r="I375" s="21">
        <v>40200</v>
      </c>
      <c r="J375" s="9">
        <v>4</v>
      </c>
      <c r="K375" s="9">
        <v>3</v>
      </c>
      <c r="L375" s="9" t="s">
        <v>71</v>
      </c>
      <c r="M375" s="9"/>
      <c r="N375" s="9">
        <f>ROUND((IF(G375="",Analysis!$B$2,G375)-F375)/365.25,1)</f>
        <v>4.9000000000000004</v>
      </c>
      <c r="O375" s="9" t="str">
        <f>IF(G375="","",YEAR(G375))</f>
        <v/>
      </c>
      <c r="P375" s="9" t="str">
        <f>IF(E375&lt;30,"&lt;30",IF(E375&lt;40,"30-39","40+"))</f>
        <v>30-39</v>
      </c>
    </row>
    <row r="376" spans="1:16" x14ac:dyDescent="0.25">
      <c r="A376" s="9" t="s">
        <v>650</v>
      </c>
      <c r="B376" s="9" t="s">
        <v>58</v>
      </c>
      <c r="C376" s="9" t="s">
        <v>128</v>
      </c>
      <c r="D376" s="9" t="s">
        <v>110</v>
      </c>
      <c r="E376" s="9">
        <v>34</v>
      </c>
      <c r="F376" s="20">
        <v>43647</v>
      </c>
      <c r="G376" s="20"/>
      <c r="H376" s="9" t="s">
        <v>51</v>
      </c>
      <c r="I376" s="21">
        <v>41100</v>
      </c>
      <c r="J376" s="9">
        <v>4</v>
      </c>
      <c r="K376" s="9">
        <v>3</v>
      </c>
      <c r="L376" s="9" t="s">
        <v>70</v>
      </c>
      <c r="M376" s="9"/>
      <c r="N376" s="9">
        <f>ROUND((IF(G376="",Analysis!$B$2,G376)-F376)/365.25,1)</f>
        <v>7.3</v>
      </c>
      <c r="O376" s="9" t="str">
        <f>IF(G376="","",YEAR(G376))</f>
        <v/>
      </c>
      <c r="P376" s="9" t="str">
        <f>IF(E376&lt;30,"&lt;30",IF(E376&lt;40,"30-39","40+"))</f>
        <v>30-39</v>
      </c>
    </row>
    <row r="377" spans="1:16" x14ac:dyDescent="0.25">
      <c r="A377" s="9" t="s">
        <v>512</v>
      </c>
      <c r="B377" s="9" t="s">
        <v>62</v>
      </c>
      <c r="C377" s="9" t="s">
        <v>109</v>
      </c>
      <c r="D377" s="9" t="s">
        <v>110</v>
      </c>
      <c r="E377" s="9">
        <v>30</v>
      </c>
      <c r="F377" s="20">
        <v>44643</v>
      </c>
      <c r="G377" s="20"/>
      <c r="H377" s="9" t="s">
        <v>51</v>
      </c>
      <c r="I377" s="21">
        <v>41200</v>
      </c>
      <c r="J377" s="9">
        <v>4</v>
      </c>
      <c r="K377" s="9">
        <v>3</v>
      </c>
      <c r="L377" s="9" t="s">
        <v>71</v>
      </c>
      <c r="M377" s="9"/>
      <c r="N377" s="9">
        <f>ROUND((IF(G377="",Analysis!$B$2,G377)-F377)/365.25,1)</f>
        <v>4.5999999999999996</v>
      </c>
      <c r="O377" s="9" t="str">
        <f>IF(G377="","",YEAR(G377))</f>
        <v/>
      </c>
      <c r="P377" s="9" t="str">
        <f>IF(E377&lt;30,"&lt;30",IF(E377&lt;40,"30-39","40+"))</f>
        <v>30-39</v>
      </c>
    </row>
    <row r="378" spans="1:16" x14ac:dyDescent="0.25">
      <c r="A378" s="9" t="s">
        <v>675</v>
      </c>
      <c r="B378" s="9" t="s">
        <v>57</v>
      </c>
      <c r="C378" s="9" t="s">
        <v>147</v>
      </c>
      <c r="D378" s="9" t="s">
        <v>110</v>
      </c>
      <c r="E378" s="9">
        <v>21</v>
      </c>
      <c r="F378" s="20">
        <v>45224</v>
      </c>
      <c r="G378" s="20"/>
      <c r="H378" s="9" t="s">
        <v>51</v>
      </c>
      <c r="I378" s="21">
        <v>41500</v>
      </c>
      <c r="J378" s="9">
        <v>4</v>
      </c>
      <c r="K378" s="9">
        <v>4</v>
      </c>
      <c r="L378" s="9" t="s">
        <v>71</v>
      </c>
      <c r="M378" s="9"/>
      <c r="N378" s="9">
        <f>ROUND((IF(G378="",Analysis!$B$2,G378)-F378)/365.25,1)</f>
        <v>3</v>
      </c>
      <c r="O378" s="9" t="str">
        <f>IF(G378="","",YEAR(G378))</f>
        <v/>
      </c>
      <c r="P378" s="9" t="str">
        <f>IF(E378&lt;30,"&lt;30",IF(E378&lt;40,"30-39","40+"))</f>
        <v>&lt;30</v>
      </c>
    </row>
    <row r="379" spans="1:16" x14ac:dyDescent="0.25">
      <c r="A379" s="9" t="s">
        <v>158</v>
      </c>
      <c r="B379" s="9" t="s">
        <v>58</v>
      </c>
      <c r="C379" s="9" t="s">
        <v>101</v>
      </c>
      <c r="D379" s="9" t="s">
        <v>102</v>
      </c>
      <c r="E379" s="9">
        <v>29</v>
      </c>
      <c r="F379" s="20">
        <v>45141</v>
      </c>
      <c r="G379" s="20"/>
      <c r="H379" s="9" t="s">
        <v>51</v>
      </c>
      <c r="I379" s="21">
        <v>41700</v>
      </c>
      <c r="J379" s="9">
        <v>4</v>
      </c>
      <c r="K379" s="9">
        <v>3</v>
      </c>
      <c r="L379" s="9" t="s">
        <v>71</v>
      </c>
      <c r="M379" s="9"/>
      <c r="N379" s="9">
        <f>ROUND((IF(G379="",Analysis!$B$2,G379)-F379)/365.25,1)</f>
        <v>3.2</v>
      </c>
      <c r="O379" s="9" t="str">
        <f>IF(G379="","",YEAR(G379))</f>
        <v/>
      </c>
      <c r="P379" s="9" t="str">
        <f>IF(E379&lt;30,"&lt;30",IF(E379&lt;40,"30-39","40+"))</f>
        <v>&lt;30</v>
      </c>
    </row>
    <row r="380" spans="1:16" x14ac:dyDescent="0.25">
      <c r="A380" s="9" t="s">
        <v>168</v>
      </c>
      <c r="B380" s="9" t="s">
        <v>62</v>
      </c>
      <c r="C380" s="9" t="s">
        <v>109</v>
      </c>
      <c r="D380" s="9" t="s">
        <v>110</v>
      </c>
      <c r="E380" s="9">
        <v>48</v>
      </c>
      <c r="F380" s="20">
        <v>43892</v>
      </c>
      <c r="G380" s="20"/>
      <c r="H380" s="9" t="s">
        <v>51</v>
      </c>
      <c r="I380" s="21">
        <v>41800</v>
      </c>
      <c r="J380" s="9">
        <v>4</v>
      </c>
      <c r="K380" s="9">
        <v>2</v>
      </c>
      <c r="L380" s="9" t="s">
        <v>71</v>
      </c>
      <c r="M380" s="9"/>
      <c r="N380" s="9">
        <f>ROUND((IF(G380="",Analysis!$B$2,G380)-F380)/365.25,1)</f>
        <v>6.7</v>
      </c>
      <c r="O380" s="9" t="str">
        <f>IF(G380="","",YEAR(G380))</f>
        <v/>
      </c>
      <c r="P380" s="9" t="str">
        <f>IF(E380&lt;30,"&lt;30",IF(E380&lt;40,"30-39","40+"))</f>
        <v>40+</v>
      </c>
    </row>
    <row r="381" spans="1:16" x14ac:dyDescent="0.25">
      <c r="A381" s="9" t="s">
        <v>469</v>
      </c>
      <c r="B381" s="9" t="s">
        <v>58</v>
      </c>
      <c r="C381" s="9" t="s">
        <v>101</v>
      </c>
      <c r="D381" s="9" t="s">
        <v>110</v>
      </c>
      <c r="E381" s="9">
        <v>25</v>
      </c>
      <c r="F381" s="20">
        <v>43649</v>
      </c>
      <c r="G381" s="20">
        <v>46040</v>
      </c>
      <c r="H381" s="9" t="s">
        <v>103</v>
      </c>
      <c r="I381" s="21">
        <v>42100</v>
      </c>
      <c r="J381" s="9">
        <v>4</v>
      </c>
      <c r="K381" s="9">
        <v>4</v>
      </c>
      <c r="L381" s="9" t="s">
        <v>71</v>
      </c>
      <c r="M381" s="9" t="s">
        <v>80</v>
      </c>
      <c r="N381" s="9">
        <f>ROUND((IF(G381="",Analysis!$B$2,G381)-F381)/365.25,1)</f>
        <v>6.5</v>
      </c>
      <c r="O381" s="9">
        <f>IF(G381="","",YEAR(G381))</f>
        <v>2026</v>
      </c>
      <c r="P381" s="9" t="str">
        <f>IF(E381&lt;30,"&lt;30",IF(E381&lt;40,"30-39","40+"))</f>
        <v>&lt;30</v>
      </c>
    </row>
    <row r="382" spans="1:16" x14ac:dyDescent="0.25">
      <c r="A382" s="9" t="s">
        <v>466</v>
      </c>
      <c r="B382" s="9" t="s">
        <v>58</v>
      </c>
      <c r="C382" s="9" t="s">
        <v>101</v>
      </c>
      <c r="D382" s="9" t="s">
        <v>102</v>
      </c>
      <c r="E382" s="9">
        <v>45</v>
      </c>
      <c r="F382" s="20">
        <v>44892</v>
      </c>
      <c r="G382" s="20"/>
      <c r="H382" s="9" t="s">
        <v>51</v>
      </c>
      <c r="I382" s="21">
        <v>42200</v>
      </c>
      <c r="J382" s="9">
        <v>4</v>
      </c>
      <c r="K382" s="9">
        <v>5</v>
      </c>
      <c r="L382" s="9" t="s">
        <v>70</v>
      </c>
      <c r="M382" s="9"/>
      <c r="N382" s="9">
        <f>ROUND((IF(G382="",Analysis!$B$2,G382)-F382)/365.25,1)</f>
        <v>3.9</v>
      </c>
      <c r="O382" s="9" t="str">
        <f>IF(G382="","",YEAR(G382))</f>
        <v/>
      </c>
      <c r="P382" s="9" t="str">
        <f>IF(E382&lt;30,"&lt;30",IF(E382&lt;40,"30-39","40+"))</f>
        <v>40+</v>
      </c>
    </row>
    <row r="383" spans="1:16" x14ac:dyDescent="0.25">
      <c r="A383" s="9" t="s">
        <v>408</v>
      </c>
      <c r="B383" s="9" t="s">
        <v>57</v>
      </c>
      <c r="C383" s="9" t="s">
        <v>147</v>
      </c>
      <c r="D383" s="9" t="s">
        <v>102</v>
      </c>
      <c r="E383" s="9">
        <v>35</v>
      </c>
      <c r="F383" s="20">
        <v>45836</v>
      </c>
      <c r="G383" s="20"/>
      <c r="H383" s="9" t="s">
        <v>51</v>
      </c>
      <c r="I383" s="21">
        <v>42400</v>
      </c>
      <c r="J383" s="9">
        <v>4</v>
      </c>
      <c r="K383" s="9">
        <v>3</v>
      </c>
      <c r="L383" s="9" t="s">
        <v>71</v>
      </c>
      <c r="M383" s="9"/>
      <c r="N383" s="9">
        <f>ROUND((IF(G383="",Analysis!$B$2,G383)-F383)/365.25,1)</f>
        <v>1.3</v>
      </c>
      <c r="O383" s="9" t="str">
        <f>IF(G383="","",YEAR(G383))</f>
        <v/>
      </c>
      <c r="P383" s="9" t="str">
        <f>IF(E383&lt;30,"&lt;30",IF(E383&lt;40,"30-39","40+"))</f>
        <v>30-39</v>
      </c>
    </row>
    <row r="384" spans="1:16" x14ac:dyDescent="0.25">
      <c r="A384" s="9" t="s">
        <v>563</v>
      </c>
      <c r="B384" s="9" t="s">
        <v>62</v>
      </c>
      <c r="C384" s="9" t="s">
        <v>109</v>
      </c>
      <c r="D384" s="9" t="s">
        <v>102</v>
      </c>
      <c r="E384" s="9">
        <v>32</v>
      </c>
      <c r="F384" s="20">
        <v>44807</v>
      </c>
      <c r="G384" s="20"/>
      <c r="H384" s="9" t="s">
        <v>51</v>
      </c>
      <c r="I384" s="21">
        <v>42900</v>
      </c>
      <c r="J384" s="9">
        <v>4</v>
      </c>
      <c r="K384" s="9">
        <v>2</v>
      </c>
      <c r="L384" s="9" t="s">
        <v>71</v>
      </c>
      <c r="M384" s="9"/>
      <c r="N384" s="9">
        <f>ROUND((IF(G384="",Analysis!$B$2,G384)-F384)/365.25,1)</f>
        <v>4.0999999999999996</v>
      </c>
      <c r="O384" s="9" t="str">
        <f>IF(G384="","",YEAR(G384))</f>
        <v/>
      </c>
      <c r="P384" s="9" t="str">
        <f>IF(E384&lt;30,"&lt;30",IF(E384&lt;40,"30-39","40+"))</f>
        <v>30-39</v>
      </c>
    </row>
    <row r="385" spans="1:16" x14ac:dyDescent="0.25">
      <c r="A385" s="9" t="s">
        <v>375</v>
      </c>
      <c r="B385" s="9" t="s">
        <v>58</v>
      </c>
      <c r="C385" s="9" t="s">
        <v>128</v>
      </c>
      <c r="D385" s="9" t="s">
        <v>102</v>
      </c>
      <c r="E385" s="9">
        <v>43</v>
      </c>
      <c r="F385" s="20">
        <v>44852</v>
      </c>
      <c r="G385" s="20"/>
      <c r="H385" s="9" t="s">
        <v>51</v>
      </c>
      <c r="I385" s="21">
        <v>43000</v>
      </c>
      <c r="J385" s="9">
        <v>4</v>
      </c>
      <c r="K385" s="9">
        <v>2</v>
      </c>
      <c r="L385" s="9" t="s">
        <v>71</v>
      </c>
      <c r="M385" s="9"/>
      <c r="N385" s="9">
        <f>ROUND((IF(G385="",Analysis!$B$2,G385)-F385)/365.25,1)</f>
        <v>4</v>
      </c>
      <c r="O385" s="9" t="str">
        <f>IF(G385="","",YEAR(G385))</f>
        <v/>
      </c>
      <c r="P385" s="9" t="str">
        <f>IF(E385&lt;30,"&lt;30",IF(E385&lt;40,"30-39","40+"))</f>
        <v>40+</v>
      </c>
    </row>
    <row r="386" spans="1:16" x14ac:dyDescent="0.25">
      <c r="A386" s="9" t="s">
        <v>124</v>
      </c>
      <c r="B386" s="9" t="s">
        <v>63</v>
      </c>
      <c r="C386" s="9" t="s">
        <v>125</v>
      </c>
      <c r="D386" s="9" t="s">
        <v>110</v>
      </c>
      <c r="E386" s="9">
        <v>30</v>
      </c>
      <c r="F386" s="20">
        <v>44809</v>
      </c>
      <c r="G386" s="20"/>
      <c r="H386" s="9" t="s">
        <v>51</v>
      </c>
      <c r="I386" s="21">
        <v>44400</v>
      </c>
      <c r="J386" s="9">
        <v>4</v>
      </c>
      <c r="K386" s="9">
        <v>5</v>
      </c>
      <c r="L386" s="9" t="s">
        <v>70</v>
      </c>
      <c r="M386" s="9"/>
      <c r="N386" s="9">
        <f>ROUND((IF(G386="",Analysis!$B$2,G386)-F386)/365.25,1)</f>
        <v>4.0999999999999996</v>
      </c>
      <c r="O386" s="9" t="str">
        <f>IF(G386="","",YEAR(G386))</f>
        <v/>
      </c>
      <c r="P386" s="9" t="str">
        <f>IF(E386&lt;30,"&lt;30",IF(E386&lt;40,"30-39","40+"))</f>
        <v>30-39</v>
      </c>
    </row>
    <row r="387" spans="1:16" x14ac:dyDescent="0.25">
      <c r="A387" s="9" t="s">
        <v>279</v>
      </c>
      <c r="B387" s="9" t="s">
        <v>62</v>
      </c>
      <c r="C387" s="9" t="s">
        <v>109</v>
      </c>
      <c r="D387" s="9" t="s">
        <v>110</v>
      </c>
      <c r="E387" s="9">
        <v>39</v>
      </c>
      <c r="F387" s="20">
        <v>44176</v>
      </c>
      <c r="G387" s="20"/>
      <c r="H387" s="9" t="s">
        <v>51</v>
      </c>
      <c r="I387" s="21">
        <v>44700</v>
      </c>
      <c r="J387" s="9">
        <v>4</v>
      </c>
      <c r="K387" s="9">
        <v>3</v>
      </c>
      <c r="L387" s="9" t="s">
        <v>70</v>
      </c>
      <c r="M387" s="9"/>
      <c r="N387" s="9">
        <f>ROUND((IF(G387="",Analysis!$B$2,G387)-F387)/365.25,1)</f>
        <v>5.9</v>
      </c>
      <c r="O387" s="9" t="str">
        <f>IF(G387="","",YEAR(G387))</f>
        <v/>
      </c>
      <c r="P387" s="9" t="str">
        <f>IF(E387&lt;30,"&lt;30",IF(E387&lt;40,"30-39","40+"))</f>
        <v>30-39</v>
      </c>
    </row>
    <row r="388" spans="1:16" x14ac:dyDescent="0.25">
      <c r="A388" s="9" t="s">
        <v>624</v>
      </c>
      <c r="B388" s="9" t="s">
        <v>62</v>
      </c>
      <c r="C388" s="9" t="s">
        <v>109</v>
      </c>
      <c r="D388" s="9" t="s">
        <v>110</v>
      </c>
      <c r="E388" s="9">
        <v>38</v>
      </c>
      <c r="F388" s="20">
        <v>45726</v>
      </c>
      <c r="G388" s="20">
        <v>46263</v>
      </c>
      <c r="H388" s="9" t="s">
        <v>103</v>
      </c>
      <c r="I388" s="21">
        <v>45700</v>
      </c>
      <c r="J388" s="9">
        <v>4</v>
      </c>
      <c r="K388" s="9">
        <v>2</v>
      </c>
      <c r="L388" s="9" t="s">
        <v>71</v>
      </c>
      <c r="M388" s="9" t="s">
        <v>79</v>
      </c>
      <c r="N388" s="9">
        <f>ROUND((IF(G388="",Analysis!$B$2,G388)-F388)/365.25,1)</f>
        <v>1.5</v>
      </c>
      <c r="O388" s="9">
        <f>IF(G388="","",YEAR(G388))</f>
        <v>2026</v>
      </c>
      <c r="P388" s="9" t="str">
        <f>IF(E388&lt;30,"&lt;30",IF(E388&lt;40,"30-39","40+"))</f>
        <v>30-39</v>
      </c>
    </row>
    <row r="389" spans="1:16" x14ac:dyDescent="0.25">
      <c r="A389" s="9" t="s">
        <v>456</v>
      </c>
      <c r="B389" s="9" t="s">
        <v>62</v>
      </c>
      <c r="C389" s="9" t="s">
        <v>116</v>
      </c>
      <c r="D389" s="9" t="s">
        <v>102</v>
      </c>
      <c r="E389" s="9">
        <v>21</v>
      </c>
      <c r="F389" s="20">
        <v>44509</v>
      </c>
      <c r="G389" s="20"/>
      <c r="H389" s="9" t="s">
        <v>51</v>
      </c>
      <c r="I389" s="21">
        <v>46100</v>
      </c>
      <c r="J389" s="9">
        <v>4</v>
      </c>
      <c r="K389" s="9">
        <v>3</v>
      </c>
      <c r="L389" s="9" t="s">
        <v>70</v>
      </c>
      <c r="M389" s="9"/>
      <c r="N389" s="9">
        <f>ROUND((IF(G389="",Analysis!$B$2,G389)-F389)/365.25,1)</f>
        <v>5</v>
      </c>
      <c r="O389" s="9" t="str">
        <f>IF(G389="","",YEAR(G389))</f>
        <v/>
      </c>
      <c r="P389" s="9" t="str">
        <f>IF(E389&lt;30,"&lt;30",IF(E389&lt;40,"30-39","40+"))</f>
        <v>&lt;30</v>
      </c>
    </row>
    <row r="390" spans="1:16" x14ac:dyDescent="0.25">
      <c r="A390" s="9" t="s">
        <v>378</v>
      </c>
      <c r="B390" s="9" t="s">
        <v>57</v>
      </c>
      <c r="C390" s="9" t="s">
        <v>147</v>
      </c>
      <c r="D390" s="9" t="s">
        <v>102</v>
      </c>
      <c r="E390" s="9">
        <v>39</v>
      </c>
      <c r="F390" s="20">
        <v>44682</v>
      </c>
      <c r="G390" s="20">
        <v>45800</v>
      </c>
      <c r="H390" s="9" t="s">
        <v>103</v>
      </c>
      <c r="I390" s="21">
        <v>46100</v>
      </c>
      <c r="J390" s="9">
        <v>4</v>
      </c>
      <c r="K390" s="9">
        <v>4</v>
      </c>
      <c r="L390" s="9" t="s">
        <v>71</v>
      </c>
      <c r="M390" s="9" t="s">
        <v>83</v>
      </c>
      <c r="N390" s="9">
        <f>ROUND((IF(G390="",Analysis!$B$2,G390)-F390)/365.25,1)</f>
        <v>3.1</v>
      </c>
      <c r="O390" s="9">
        <f>IF(G390="","",YEAR(G390))</f>
        <v>2025</v>
      </c>
      <c r="P390" s="9" t="str">
        <f>IF(E390&lt;30,"&lt;30",IF(E390&lt;40,"30-39","40+"))</f>
        <v>30-39</v>
      </c>
    </row>
    <row r="391" spans="1:16" x14ac:dyDescent="0.25">
      <c r="A391" s="9" t="s">
        <v>427</v>
      </c>
      <c r="B391" s="9" t="s">
        <v>62</v>
      </c>
      <c r="C391" s="9" t="s">
        <v>109</v>
      </c>
      <c r="D391" s="9" t="s">
        <v>193</v>
      </c>
      <c r="E391" s="9">
        <v>34</v>
      </c>
      <c r="F391" s="20">
        <v>43561</v>
      </c>
      <c r="G391" s="20"/>
      <c r="H391" s="9" t="s">
        <v>51</v>
      </c>
      <c r="I391" s="21">
        <v>46200</v>
      </c>
      <c r="J391" s="9">
        <v>4</v>
      </c>
      <c r="K391" s="9">
        <v>2</v>
      </c>
      <c r="L391" s="9" t="s">
        <v>71</v>
      </c>
      <c r="M391" s="9"/>
      <c r="N391" s="9">
        <f>ROUND((IF(G391="",Analysis!$B$2,G391)-F391)/365.25,1)</f>
        <v>7.6</v>
      </c>
      <c r="O391" s="9" t="str">
        <f>IF(G391="","",YEAR(G391))</f>
        <v/>
      </c>
      <c r="P391" s="9" t="str">
        <f>IF(E391&lt;30,"&lt;30",IF(E391&lt;40,"30-39","40+"))</f>
        <v>30-39</v>
      </c>
    </row>
    <row r="392" spans="1:16" x14ac:dyDescent="0.25">
      <c r="A392" s="9" t="s">
        <v>438</v>
      </c>
      <c r="B392" s="9" t="s">
        <v>57</v>
      </c>
      <c r="C392" s="9" t="s">
        <v>147</v>
      </c>
      <c r="D392" s="9" t="s">
        <v>110</v>
      </c>
      <c r="E392" s="9">
        <v>34</v>
      </c>
      <c r="F392" s="20">
        <v>44032</v>
      </c>
      <c r="G392" s="20"/>
      <c r="H392" s="9" t="s">
        <v>51</v>
      </c>
      <c r="I392" s="21">
        <v>47000</v>
      </c>
      <c r="J392" s="9">
        <v>4</v>
      </c>
      <c r="K392" s="9">
        <v>3</v>
      </c>
      <c r="L392" s="9" t="s">
        <v>71</v>
      </c>
      <c r="M392" s="9"/>
      <c r="N392" s="9">
        <f>ROUND((IF(G392="",Analysis!$B$2,G392)-F392)/365.25,1)</f>
        <v>6.3</v>
      </c>
      <c r="O392" s="9" t="str">
        <f>IF(G392="","",YEAR(G392))</f>
        <v/>
      </c>
      <c r="P392" s="9" t="str">
        <f>IF(E392&lt;30,"&lt;30",IF(E392&lt;40,"30-39","40+"))</f>
        <v>30-39</v>
      </c>
    </row>
    <row r="393" spans="1:16" x14ac:dyDescent="0.25">
      <c r="A393" s="9" t="s">
        <v>140</v>
      </c>
      <c r="B393" s="9" t="s">
        <v>58</v>
      </c>
      <c r="C393" s="9" t="s">
        <v>101</v>
      </c>
      <c r="D393" s="9" t="s">
        <v>110</v>
      </c>
      <c r="E393" s="9">
        <v>32</v>
      </c>
      <c r="F393" s="20">
        <v>44220</v>
      </c>
      <c r="G393" s="20">
        <v>45727</v>
      </c>
      <c r="H393" s="9" t="s">
        <v>103</v>
      </c>
      <c r="I393" s="21">
        <v>47100</v>
      </c>
      <c r="J393" s="9">
        <v>4</v>
      </c>
      <c r="K393" s="9">
        <v>3</v>
      </c>
      <c r="L393" s="9" t="s">
        <v>70</v>
      </c>
      <c r="M393" s="9" t="s">
        <v>82</v>
      </c>
      <c r="N393" s="9">
        <f>ROUND((IF(G393="",Analysis!$B$2,G393)-F393)/365.25,1)</f>
        <v>4.0999999999999996</v>
      </c>
      <c r="O393" s="9">
        <f>IF(G393="","",YEAR(G393))</f>
        <v>2025</v>
      </c>
      <c r="P393" s="9" t="str">
        <f>IF(E393&lt;30,"&lt;30",IF(E393&lt;40,"30-39","40+"))</f>
        <v>30-39</v>
      </c>
    </row>
    <row r="394" spans="1:16" x14ac:dyDescent="0.25">
      <c r="A394" s="9" t="s">
        <v>355</v>
      </c>
      <c r="B394" s="9" t="s">
        <v>58</v>
      </c>
      <c r="C394" s="9" t="s">
        <v>101</v>
      </c>
      <c r="D394" s="9" t="s">
        <v>110</v>
      </c>
      <c r="E394" s="9">
        <v>32</v>
      </c>
      <c r="F394" s="20">
        <v>45325</v>
      </c>
      <c r="G394" s="20"/>
      <c r="H394" s="9" t="s">
        <v>51</v>
      </c>
      <c r="I394" s="21">
        <v>47400</v>
      </c>
      <c r="J394" s="9">
        <v>4</v>
      </c>
      <c r="K394" s="9">
        <v>1</v>
      </c>
      <c r="L394" s="9" t="s">
        <v>71</v>
      </c>
      <c r="M394" s="9"/>
      <c r="N394" s="9">
        <f>ROUND((IF(G394="",Analysis!$B$2,G394)-F394)/365.25,1)</f>
        <v>2.7</v>
      </c>
      <c r="O394" s="9" t="str">
        <f>IF(G394="","",YEAR(G394))</f>
        <v/>
      </c>
      <c r="P394" s="9" t="str">
        <f>IF(E394&lt;30,"&lt;30",IF(E394&lt;40,"30-39","40+"))</f>
        <v>30-39</v>
      </c>
    </row>
    <row r="395" spans="1:16" x14ac:dyDescent="0.25">
      <c r="A395" s="9" t="s">
        <v>184</v>
      </c>
      <c r="B395" s="9" t="s">
        <v>62</v>
      </c>
      <c r="C395" s="9" t="s">
        <v>109</v>
      </c>
      <c r="D395" s="9" t="s">
        <v>110</v>
      </c>
      <c r="E395" s="9">
        <v>40</v>
      </c>
      <c r="F395" s="20">
        <v>43542</v>
      </c>
      <c r="G395" s="20"/>
      <c r="H395" s="9" t="s">
        <v>51</v>
      </c>
      <c r="I395" s="21">
        <v>47700</v>
      </c>
      <c r="J395" s="9">
        <v>4</v>
      </c>
      <c r="K395" s="9">
        <v>5</v>
      </c>
      <c r="L395" s="9" t="s">
        <v>70</v>
      </c>
      <c r="M395" s="9"/>
      <c r="N395" s="9">
        <f>ROUND((IF(G395="",Analysis!$B$2,G395)-F395)/365.25,1)</f>
        <v>7.6</v>
      </c>
      <c r="O395" s="9" t="str">
        <f>IF(G395="","",YEAR(G395))</f>
        <v/>
      </c>
      <c r="P395" s="9" t="str">
        <f>IF(E395&lt;30,"&lt;30",IF(E395&lt;40,"30-39","40+"))</f>
        <v>40+</v>
      </c>
    </row>
    <row r="396" spans="1:16" x14ac:dyDescent="0.25">
      <c r="A396" s="9" t="s">
        <v>314</v>
      </c>
      <c r="B396" s="9" t="s">
        <v>63</v>
      </c>
      <c r="C396" s="9" t="s">
        <v>125</v>
      </c>
      <c r="D396" s="9" t="s">
        <v>102</v>
      </c>
      <c r="E396" s="9">
        <v>42</v>
      </c>
      <c r="F396" s="20">
        <v>44441</v>
      </c>
      <c r="G396" s="20">
        <v>45324</v>
      </c>
      <c r="H396" s="9" t="s">
        <v>103</v>
      </c>
      <c r="I396" s="21">
        <v>47900</v>
      </c>
      <c r="J396" s="9">
        <v>4</v>
      </c>
      <c r="K396" s="9">
        <v>5</v>
      </c>
      <c r="L396" s="9" t="s">
        <v>70</v>
      </c>
      <c r="M396" s="9" t="s">
        <v>84</v>
      </c>
      <c r="N396" s="9">
        <f>ROUND((IF(G396="",Analysis!$B$2,G396)-F396)/365.25,1)</f>
        <v>2.4</v>
      </c>
      <c r="O396" s="9">
        <f>IF(G396="","",YEAR(G396))</f>
        <v>2024</v>
      </c>
      <c r="P396" s="9" t="str">
        <f>IF(E396&lt;30,"&lt;30",IF(E396&lt;40,"30-39","40+"))</f>
        <v>40+</v>
      </c>
    </row>
    <row r="397" spans="1:16" x14ac:dyDescent="0.25">
      <c r="A397" s="9" t="s">
        <v>553</v>
      </c>
      <c r="B397" s="9" t="s">
        <v>57</v>
      </c>
      <c r="C397" s="9" t="s">
        <v>147</v>
      </c>
      <c r="D397" s="9" t="s">
        <v>110</v>
      </c>
      <c r="E397" s="9">
        <v>21</v>
      </c>
      <c r="F397" s="20">
        <v>45865</v>
      </c>
      <c r="G397" s="20"/>
      <c r="H397" s="9" t="s">
        <v>51</v>
      </c>
      <c r="I397" s="21">
        <v>48500</v>
      </c>
      <c r="J397" s="9">
        <v>4</v>
      </c>
      <c r="K397" s="9">
        <v>1</v>
      </c>
      <c r="L397" s="9" t="s">
        <v>70</v>
      </c>
      <c r="M397" s="9"/>
      <c r="N397" s="9">
        <f>ROUND((IF(G397="",Analysis!$B$2,G397)-F397)/365.25,1)</f>
        <v>1.3</v>
      </c>
      <c r="O397" s="9" t="str">
        <f>IF(G397="","",YEAR(G397))</f>
        <v/>
      </c>
      <c r="P397" s="9" t="str">
        <f>IF(E397&lt;30,"&lt;30",IF(E397&lt;40,"30-39","40+"))</f>
        <v>&lt;30</v>
      </c>
    </row>
    <row r="398" spans="1:16" x14ac:dyDescent="0.25">
      <c r="A398" s="9" t="s">
        <v>418</v>
      </c>
      <c r="B398" s="9" t="s">
        <v>62</v>
      </c>
      <c r="C398" s="9" t="s">
        <v>116</v>
      </c>
      <c r="D398" s="9" t="s">
        <v>102</v>
      </c>
      <c r="E398" s="9">
        <v>42</v>
      </c>
      <c r="F398" s="20">
        <v>45487</v>
      </c>
      <c r="G398" s="20"/>
      <c r="H398" s="9" t="s">
        <v>51</v>
      </c>
      <c r="I398" s="21">
        <v>49100</v>
      </c>
      <c r="J398" s="9">
        <v>4</v>
      </c>
      <c r="K398" s="9">
        <v>2</v>
      </c>
      <c r="L398" s="9" t="s">
        <v>71</v>
      </c>
      <c r="M398" s="9"/>
      <c r="N398" s="9">
        <f>ROUND((IF(G398="",Analysis!$B$2,G398)-F398)/365.25,1)</f>
        <v>2.2999999999999998</v>
      </c>
      <c r="O398" s="9" t="str">
        <f>IF(G398="","",YEAR(G398))</f>
        <v/>
      </c>
      <c r="P398" s="9" t="str">
        <f>IF(E398&lt;30,"&lt;30",IF(E398&lt;40,"30-39","40+"))</f>
        <v>40+</v>
      </c>
    </row>
    <row r="399" spans="1:16" x14ac:dyDescent="0.25">
      <c r="A399" s="9" t="s">
        <v>182</v>
      </c>
      <c r="B399" s="9" t="s">
        <v>58</v>
      </c>
      <c r="C399" s="9" t="s">
        <v>101</v>
      </c>
      <c r="D399" s="9" t="s">
        <v>110</v>
      </c>
      <c r="E399" s="9">
        <v>41</v>
      </c>
      <c r="F399" s="20">
        <v>45178</v>
      </c>
      <c r="G399" s="20">
        <v>45946</v>
      </c>
      <c r="H399" s="9" t="s">
        <v>103</v>
      </c>
      <c r="I399" s="21">
        <v>49400</v>
      </c>
      <c r="J399" s="9">
        <v>4</v>
      </c>
      <c r="K399" s="9">
        <v>3</v>
      </c>
      <c r="L399" s="9" t="s">
        <v>71</v>
      </c>
      <c r="M399" s="9" t="s">
        <v>84</v>
      </c>
      <c r="N399" s="9">
        <f>ROUND((IF(G399="",Analysis!$B$2,G399)-F399)/365.25,1)</f>
        <v>2.1</v>
      </c>
      <c r="O399" s="9">
        <f>IF(G399="","",YEAR(G399))</f>
        <v>2025</v>
      </c>
      <c r="P399" s="9" t="str">
        <f>IF(E399&lt;30,"&lt;30",IF(E399&lt;40,"30-39","40+"))</f>
        <v>40+</v>
      </c>
    </row>
    <row r="400" spans="1:16" x14ac:dyDescent="0.25">
      <c r="A400" s="9" t="s">
        <v>567</v>
      </c>
      <c r="B400" s="9" t="s">
        <v>61</v>
      </c>
      <c r="C400" s="9" t="s">
        <v>123</v>
      </c>
      <c r="D400" s="9" t="s">
        <v>110</v>
      </c>
      <c r="E400" s="9">
        <v>21</v>
      </c>
      <c r="F400" s="20">
        <v>45819</v>
      </c>
      <c r="G400" s="20"/>
      <c r="H400" s="9" t="s">
        <v>51</v>
      </c>
      <c r="I400" s="21">
        <v>49500</v>
      </c>
      <c r="J400" s="9">
        <v>4</v>
      </c>
      <c r="K400" s="9">
        <v>3</v>
      </c>
      <c r="L400" s="9" t="s">
        <v>71</v>
      </c>
      <c r="M400" s="9"/>
      <c r="N400" s="9">
        <f>ROUND((IF(G400="",Analysis!$B$2,G400)-F400)/365.25,1)</f>
        <v>1.4</v>
      </c>
      <c r="O400" s="9" t="str">
        <f>IF(G400="","",YEAR(G400))</f>
        <v/>
      </c>
      <c r="P400" s="9" t="str">
        <f>IF(E400&lt;30,"&lt;30",IF(E400&lt;40,"30-39","40+"))</f>
        <v>&lt;30</v>
      </c>
    </row>
    <row r="401" spans="1:16" x14ac:dyDescent="0.25">
      <c r="A401" s="9" t="s">
        <v>669</v>
      </c>
      <c r="B401" s="9" t="s">
        <v>58</v>
      </c>
      <c r="C401" s="9" t="s">
        <v>101</v>
      </c>
      <c r="D401" s="9" t="s">
        <v>110</v>
      </c>
      <c r="E401" s="9">
        <v>29</v>
      </c>
      <c r="F401" s="20">
        <v>45140</v>
      </c>
      <c r="G401" s="20"/>
      <c r="H401" s="9" t="s">
        <v>51</v>
      </c>
      <c r="I401" s="21">
        <v>49500</v>
      </c>
      <c r="J401" s="9">
        <v>4</v>
      </c>
      <c r="K401" s="9">
        <v>3</v>
      </c>
      <c r="L401" s="9" t="s">
        <v>71</v>
      </c>
      <c r="M401" s="9"/>
      <c r="N401" s="9">
        <f>ROUND((IF(G401="",Analysis!$B$2,G401)-F401)/365.25,1)</f>
        <v>3.2</v>
      </c>
      <c r="O401" s="9" t="str">
        <f>IF(G401="","",YEAR(G401))</f>
        <v/>
      </c>
      <c r="P401" s="9" t="str">
        <f>IF(E401&lt;30,"&lt;30",IF(E401&lt;40,"30-39","40+"))</f>
        <v>&lt;30</v>
      </c>
    </row>
    <row r="402" spans="1:16" x14ac:dyDescent="0.25">
      <c r="A402" s="9" t="s">
        <v>286</v>
      </c>
      <c r="B402" s="9" t="s">
        <v>58</v>
      </c>
      <c r="C402" s="9" t="s">
        <v>101</v>
      </c>
      <c r="D402" s="9" t="s">
        <v>110</v>
      </c>
      <c r="E402" s="9">
        <v>27</v>
      </c>
      <c r="F402" s="20">
        <v>45167</v>
      </c>
      <c r="G402" s="20"/>
      <c r="H402" s="9" t="s">
        <v>51</v>
      </c>
      <c r="I402" s="21">
        <v>50200</v>
      </c>
      <c r="J402" s="9">
        <v>4</v>
      </c>
      <c r="K402" s="9">
        <v>1</v>
      </c>
      <c r="L402" s="9" t="s">
        <v>71</v>
      </c>
      <c r="M402" s="9"/>
      <c r="N402" s="9">
        <f>ROUND((IF(G402="",Analysis!$B$2,G402)-F402)/365.25,1)</f>
        <v>3.2</v>
      </c>
      <c r="O402" s="9" t="str">
        <f>IF(G402="","",YEAR(G402))</f>
        <v/>
      </c>
      <c r="P402" s="9" t="str">
        <f>IF(E402&lt;30,"&lt;30",IF(E402&lt;40,"30-39","40+"))</f>
        <v>&lt;30</v>
      </c>
    </row>
    <row r="403" spans="1:16" x14ac:dyDescent="0.25">
      <c r="A403" s="9" t="s">
        <v>352</v>
      </c>
      <c r="B403" s="9" t="s">
        <v>63</v>
      </c>
      <c r="C403" s="9" t="s">
        <v>125</v>
      </c>
      <c r="D403" s="9" t="s">
        <v>110</v>
      </c>
      <c r="E403" s="9">
        <v>29</v>
      </c>
      <c r="F403" s="20">
        <v>43117</v>
      </c>
      <c r="G403" s="20"/>
      <c r="H403" s="9" t="s">
        <v>51</v>
      </c>
      <c r="I403" s="21">
        <v>50300</v>
      </c>
      <c r="J403" s="9">
        <v>4</v>
      </c>
      <c r="K403" s="9">
        <v>1</v>
      </c>
      <c r="L403" s="9" t="s">
        <v>70</v>
      </c>
      <c r="M403" s="9"/>
      <c r="N403" s="9">
        <f>ROUND((IF(G403="",Analysis!$B$2,G403)-F403)/365.25,1)</f>
        <v>8.8000000000000007</v>
      </c>
      <c r="O403" s="9" t="str">
        <f>IF(G403="","",YEAR(G403))</f>
        <v/>
      </c>
      <c r="P403" s="9" t="str">
        <f>IF(E403&lt;30,"&lt;30",IF(E403&lt;40,"30-39","40+"))</f>
        <v>&lt;30</v>
      </c>
    </row>
    <row r="404" spans="1:16" x14ac:dyDescent="0.25">
      <c r="A404" s="9" t="s">
        <v>413</v>
      </c>
      <c r="B404" s="9" t="s">
        <v>63</v>
      </c>
      <c r="C404" s="9" t="s">
        <v>125</v>
      </c>
      <c r="D404" s="9" t="s">
        <v>102</v>
      </c>
      <c r="E404" s="9">
        <v>21</v>
      </c>
      <c r="F404" s="20">
        <v>44615</v>
      </c>
      <c r="G404" s="20">
        <v>45002</v>
      </c>
      <c r="H404" s="9" t="s">
        <v>103</v>
      </c>
      <c r="I404" s="21">
        <v>50400</v>
      </c>
      <c r="J404" s="9">
        <v>4</v>
      </c>
      <c r="K404" s="9">
        <v>3</v>
      </c>
      <c r="L404" s="9" t="s">
        <v>71</v>
      </c>
      <c r="M404" s="9" t="s">
        <v>83</v>
      </c>
      <c r="N404" s="9">
        <f>ROUND((IF(G404="",Analysis!$B$2,G404)-F404)/365.25,1)</f>
        <v>1.1000000000000001</v>
      </c>
      <c r="O404" s="9">
        <f>IF(G404="","",YEAR(G404))</f>
        <v>2023</v>
      </c>
      <c r="P404" s="9" t="str">
        <f>IF(E404&lt;30,"&lt;30",IF(E404&lt;40,"30-39","40+"))</f>
        <v>&lt;30</v>
      </c>
    </row>
    <row r="405" spans="1:16" x14ac:dyDescent="0.25">
      <c r="A405" s="9" t="s">
        <v>238</v>
      </c>
      <c r="B405" s="9" t="s">
        <v>60</v>
      </c>
      <c r="C405" s="9" t="s">
        <v>130</v>
      </c>
      <c r="D405" s="9" t="s">
        <v>110</v>
      </c>
      <c r="E405" s="9">
        <v>27</v>
      </c>
      <c r="F405" s="20">
        <v>43918</v>
      </c>
      <c r="G405" s="20">
        <v>45636</v>
      </c>
      <c r="H405" s="9" t="s">
        <v>103</v>
      </c>
      <c r="I405" s="21">
        <v>50800</v>
      </c>
      <c r="J405" s="9">
        <v>4</v>
      </c>
      <c r="K405" s="9">
        <v>2</v>
      </c>
      <c r="L405" s="9" t="s">
        <v>70</v>
      </c>
      <c r="M405" s="9" t="s">
        <v>80</v>
      </c>
      <c r="N405" s="9">
        <f>ROUND((IF(G405="",Analysis!$B$2,G405)-F405)/365.25,1)</f>
        <v>4.7</v>
      </c>
      <c r="O405" s="9">
        <f>IF(G405="","",YEAR(G405))</f>
        <v>2024</v>
      </c>
      <c r="P405" s="9" t="str">
        <f>IF(E405&lt;30,"&lt;30",IF(E405&lt;40,"30-39","40+"))</f>
        <v>&lt;30</v>
      </c>
    </row>
    <row r="406" spans="1:16" x14ac:dyDescent="0.25">
      <c r="A406" s="9" t="s">
        <v>350</v>
      </c>
      <c r="B406" s="9" t="s">
        <v>57</v>
      </c>
      <c r="C406" s="9" t="s">
        <v>147</v>
      </c>
      <c r="D406" s="9" t="s">
        <v>110</v>
      </c>
      <c r="E406" s="9">
        <v>42</v>
      </c>
      <c r="F406" s="20">
        <v>43518</v>
      </c>
      <c r="G406" s="20"/>
      <c r="H406" s="9" t="s">
        <v>51</v>
      </c>
      <c r="I406" s="21">
        <v>50800</v>
      </c>
      <c r="J406" s="9">
        <v>4</v>
      </c>
      <c r="K406" s="9">
        <v>3</v>
      </c>
      <c r="L406" s="9" t="s">
        <v>71</v>
      </c>
      <c r="M406" s="9"/>
      <c r="N406" s="9">
        <f>ROUND((IF(G406="",Analysis!$B$2,G406)-F406)/365.25,1)</f>
        <v>7.7</v>
      </c>
      <c r="O406" s="9" t="str">
        <f>IF(G406="","",YEAR(G406))</f>
        <v/>
      </c>
      <c r="P406" s="9" t="str">
        <f>IF(E406&lt;30,"&lt;30",IF(E406&lt;40,"30-39","40+"))</f>
        <v>40+</v>
      </c>
    </row>
    <row r="407" spans="1:16" x14ac:dyDescent="0.25">
      <c r="A407" s="9" t="s">
        <v>433</v>
      </c>
      <c r="B407" s="9" t="s">
        <v>62</v>
      </c>
      <c r="C407" s="9" t="s">
        <v>116</v>
      </c>
      <c r="D407" s="9" t="s">
        <v>110</v>
      </c>
      <c r="E407" s="9">
        <v>43</v>
      </c>
      <c r="F407" s="20">
        <v>44775</v>
      </c>
      <c r="G407" s="20"/>
      <c r="H407" s="9" t="s">
        <v>51</v>
      </c>
      <c r="I407" s="21">
        <v>50800</v>
      </c>
      <c r="J407" s="9">
        <v>4</v>
      </c>
      <c r="K407" s="9">
        <v>2</v>
      </c>
      <c r="L407" s="9" t="s">
        <v>71</v>
      </c>
      <c r="M407" s="9"/>
      <c r="N407" s="9">
        <f>ROUND((IF(G407="",Analysis!$B$2,G407)-F407)/365.25,1)</f>
        <v>4.2</v>
      </c>
      <c r="O407" s="9" t="str">
        <f>IF(G407="","",YEAR(G407))</f>
        <v/>
      </c>
      <c r="P407" s="9" t="str">
        <f>IF(E407&lt;30,"&lt;30",IF(E407&lt;40,"30-39","40+"))</f>
        <v>40+</v>
      </c>
    </row>
    <row r="408" spans="1:16" x14ac:dyDescent="0.25">
      <c r="A408" s="9" t="s">
        <v>517</v>
      </c>
      <c r="B408" s="9" t="s">
        <v>57</v>
      </c>
      <c r="C408" s="9" t="s">
        <v>112</v>
      </c>
      <c r="D408" s="9" t="s">
        <v>102</v>
      </c>
      <c r="E408" s="9">
        <v>33</v>
      </c>
      <c r="F408" s="20">
        <v>45584</v>
      </c>
      <c r="G408" s="20"/>
      <c r="H408" s="9" t="s">
        <v>51</v>
      </c>
      <c r="I408" s="21">
        <v>51700</v>
      </c>
      <c r="J408" s="9">
        <v>4</v>
      </c>
      <c r="K408" s="9">
        <v>2</v>
      </c>
      <c r="L408" s="9" t="s">
        <v>71</v>
      </c>
      <c r="M408" s="9"/>
      <c r="N408" s="9">
        <f>ROUND((IF(G408="",Analysis!$B$2,G408)-F408)/365.25,1)</f>
        <v>2</v>
      </c>
      <c r="O408" s="9" t="str">
        <f>IF(G408="","",YEAR(G408))</f>
        <v/>
      </c>
      <c r="P408" s="9" t="str">
        <f>IF(E408&lt;30,"&lt;30",IF(E408&lt;40,"30-39","40+"))</f>
        <v>30-39</v>
      </c>
    </row>
    <row r="409" spans="1:16" x14ac:dyDescent="0.25">
      <c r="A409" s="9" t="s">
        <v>118</v>
      </c>
      <c r="B409" s="9" t="s">
        <v>58</v>
      </c>
      <c r="C409" s="9" t="s">
        <v>101</v>
      </c>
      <c r="D409" s="9" t="s">
        <v>102</v>
      </c>
      <c r="E409" s="9">
        <v>31</v>
      </c>
      <c r="F409" s="20">
        <v>44927</v>
      </c>
      <c r="G409" s="20"/>
      <c r="H409" s="9" t="s">
        <v>51</v>
      </c>
      <c r="I409" s="21">
        <v>51800</v>
      </c>
      <c r="J409" s="9">
        <v>4</v>
      </c>
      <c r="K409" s="9">
        <v>3</v>
      </c>
      <c r="L409" s="9" t="s">
        <v>71</v>
      </c>
      <c r="M409" s="9"/>
      <c r="N409" s="9">
        <f>ROUND((IF(G409="",Analysis!$B$2,G409)-F409)/365.25,1)</f>
        <v>3.8</v>
      </c>
      <c r="O409" s="9" t="str">
        <f>IF(G409="","",YEAR(G409))</f>
        <v/>
      </c>
      <c r="P409" s="9" t="str">
        <f>IF(E409&lt;30,"&lt;30",IF(E409&lt;40,"30-39","40+"))</f>
        <v>30-39</v>
      </c>
    </row>
    <row r="410" spans="1:16" x14ac:dyDescent="0.25">
      <c r="A410" s="9" t="s">
        <v>266</v>
      </c>
      <c r="B410" s="9" t="s">
        <v>57</v>
      </c>
      <c r="C410" s="9" t="s">
        <v>147</v>
      </c>
      <c r="D410" s="9" t="s">
        <v>102</v>
      </c>
      <c r="E410" s="9">
        <v>35</v>
      </c>
      <c r="F410" s="20">
        <v>45465</v>
      </c>
      <c r="G410" s="20">
        <v>46019</v>
      </c>
      <c r="H410" s="9" t="s">
        <v>103</v>
      </c>
      <c r="I410" s="21">
        <v>51900</v>
      </c>
      <c r="J410" s="9">
        <v>4</v>
      </c>
      <c r="K410" s="9">
        <v>1</v>
      </c>
      <c r="L410" s="9" t="s">
        <v>70</v>
      </c>
      <c r="M410" s="9" t="s">
        <v>81</v>
      </c>
      <c r="N410" s="9">
        <f>ROUND((IF(G410="",Analysis!$B$2,G410)-F410)/365.25,1)</f>
        <v>1.5</v>
      </c>
      <c r="O410" s="9">
        <f>IF(G410="","",YEAR(G410))</f>
        <v>2025</v>
      </c>
      <c r="P410" s="9" t="str">
        <f>IF(E410&lt;30,"&lt;30",IF(E410&lt;40,"30-39","40+"))</f>
        <v>30-39</v>
      </c>
    </row>
    <row r="411" spans="1:16" x14ac:dyDescent="0.25">
      <c r="A411" s="9" t="s">
        <v>560</v>
      </c>
      <c r="B411" s="9" t="s">
        <v>57</v>
      </c>
      <c r="C411" s="9" t="s">
        <v>112</v>
      </c>
      <c r="D411" s="9" t="s">
        <v>110</v>
      </c>
      <c r="E411" s="9">
        <v>25</v>
      </c>
      <c r="F411" s="20">
        <v>44842</v>
      </c>
      <c r="G411" s="20">
        <v>45180</v>
      </c>
      <c r="H411" s="9" t="s">
        <v>103</v>
      </c>
      <c r="I411" s="21">
        <v>52700</v>
      </c>
      <c r="J411" s="9">
        <v>4</v>
      </c>
      <c r="K411" s="9">
        <v>4</v>
      </c>
      <c r="L411" s="9" t="s">
        <v>70</v>
      </c>
      <c r="M411" s="9" t="s">
        <v>82</v>
      </c>
      <c r="N411" s="9">
        <f>ROUND((IF(G411="",Analysis!$B$2,G411)-F411)/365.25,1)</f>
        <v>0.9</v>
      </c>
      <c r="O411" s="9">
        <f>IF(G411="","",YEAR(G411))</f>
        <v>2023</v>
      </c>
      <c r="P411" s="9" t="str">
        <f>IF(E411&lt;30,"&lt;30",IF(E411&lt;40,"30-39","40+"))</f>
        <v>&lt;30</v>
      </c>
    </row>
    <row r="412" spans="1:16" x14ac:dyDescent="0.25">
      <c r="A412" s="9" t="s">
        <v>487</v>
      </c>
      <c r="B412" s="9" t="s">
        <v>58</v>
      </c>
      <c r="C412" s="9" t="s">
        <v>121</v>
      </c>
      <c r="D412" s="9" t="s">
        <v>102</v>
      </c>
      <c r="E412" s="9">
        <v>33</v>
      </c>
      <c r="F412" s="20">
        <v>45845</v>
      </c>
      <c r="G412" s="20">
        <v>46094</v>
      </c>
      <c r="H412" s="9" t="s">
        <v>103</v>
      </c>
      <c r="I412" s="21">
        <v>53100</v>
      </c>
      <c r="J412" s="9">
        <v>4</v>
      </c>
      <c r="K412" s="9">
        <v>3</v>
      </c>
      <c r="L412" s="9" t="s">
        <v>70</v>
      </c>
      <c r="M412" s="9" t="s">
        <v>81</v>
      </c>
      <c r="N412" s="9">
        <f>ROUND((IF(G412="",Analysis!$B$2,G412)-F412)/365.25,1)</f>
        <v>0.7</v>
      </c>
      <c r="O412" s="9">
        <f>IF(G412="","",YEAR(G412))</f>
        <v>2026</v>
      </c>
      <c r="P412" s="9" t="str">
        <f>IF(E412&lt;30,"&lt;30",IF(E412&lt;40,"30-39","40+"))</f>
        <v>30-39</v>
      </c>
    </row>
    <row r="413" spans="1:16" x14ac:dyDescent="0.25">
      <c r="A413" s="9" t="s">
        <v>461</v>
      </c>
      <c r="B413" s="9" t="s">
        <v>62</v>
      </c>
      <c r="C413" s="9" t="s">
        <v>116</v>
      </c>
      <c r="D413" s="9" t="s">
        <v>110</v>
      </c>
      <c r="E413" s="9">
        <v>33</v>
      </c>
      <c r="F413" s="20">
        <v>43130</v>
      </c>
      <c r="G413" s="20">
        <v>46239</v>
      </c>
      <c r="H413" s="9" t="s">
        <v>103</v>
      </c>
      <c r="I413" s="21">
        <v>53400</v>
      </c>
      <c r="J413" s="9">
        <v>4</v>
      </c>
      <c r="K413" s="9">
        <v>2</v>
      </c>
      <c r="L413" s="9" t="s">
        <v>71</v>
      </c>
      <c r="M413" s="9" t="s">
        <v>81</v>
      </c>
      <c r="N413" s="9">
        <f>ROUND((IF(G413="",Analysis!$B$2,G413)-F413)/365.25,1)</f>
        <v>8.5</v>
      </c>
      <c r="O413" s="9">
        <f>IF(G413="","",YEAR(G413))</f>
        <v>2026</v>
      </c>
      <c r="P413" s="9" t="str">
        <f>IF(E413&lt;30,"&lt;30",IF(E413&lt;40,"30-39","40+"))</f>
        <v>30-39</v>
      </c>
    </row>
    <row r="414" spans="1:16" x14ac:dyDescent="0.25">
      <c r="A414" s="9" t="s">
        <v>228</v>
      </c>
      <c r="B414" s="9" t="s">
        <v>58</v>
      </c>
      <c r="C414" s="9" t="s">
        <v>121</v>
      </c>
      <c r="D414" s="9" t="s">
        <v>110</v>
      </c>
      <c r="E414" s="9">
        <v>21</v>
      </c>
      <c r="F414" s="20">
        <v>43370</v>
      </c>
      <c r="G414" s="20"/>
      <c r="H414" s="9" t="s">
        <v>51</v>
      </c>
      <c r="I414" s="21">
        <v>53600</v>
      </c>
      <c r="J414" s="9">
        <v>4</v>
      </c>
      <c r="K414" s="9">
        <v>5</v>
      </c>
      <c r="L414" s="9" t="s">
        <v>70</v>
      </c>
      <c r="M414" s="9"/>
      <c r="N414" s="9">
        <f>ROUND((IF(G414="",Analysis!$B$2,G414)-F414)/365.25,1)</f>
        <v>8.1</v>
      </c>
      <c r="O414" s="9" t="str">
        <f>IF(G414="","",YEAR(G414))</f>
        <v/>
      </c>
      <c r="P414" s="9" t="str">
        <f>IF(E414&lt;30,"&lt;30",IF(E414&lt;40,"30-39","40+"))</f>
        <v>&lt;30</v>
      </c>
    </row>
    <row r="415" spans="1:16" x14ac:dyDescent="0.25">
      <c r="A415" s="9" t="s">
        <v>628</v>
      </c>
      <c r="B415" s="9" t="s">
        <v>58</v>
      </c>
      <c r="C415" s="9" t="s">
        <v>101</v>
      </c>
      <c r="D415" s="9" t="s">
        <v>102</v>
      </c>
      <c r="E415" s="9">
        <v>33</v>
      </c>
      <c r="F415" s="20">
        <v>46054</v>
      </c>
      <c r="G415" s="20"/>
      <c r="H415" s="9" t="s">
        <v>51</v>
      </c>
      <c r="I415" s="21">
        <v>54100</v>
      </c>
      <c r="J415" s="9">
        <v>4</v>
      </c>
      <c r="K415" s="9">
        <v>3</v>
      </c>
      <c r="L415" s="9" t="s">
        <v>71</v>
      </c>
      <c r="M415" s="9"/>
      <c r="N415" s="9">
        <f>ROUND((IF(G415="",Analysis!$B$2,G415)-F415)/365.25,1)</f>
        <v>0.7</v>
      </c>
      <c r="O415" s="9" t="str">
        <f>IF(G415="","",YEAR(G415))</f>
        <v/>
      </c>
      <c r="P415" s="9" t="str">
        <f>IF(E415&lt;30,"&lt;30",IF(E415&lt;40,"30-39","40+"))</f>
        <v>30-39</v>
      </c>
    </row>
    <row r="416" spans="1:16" x14ac:dyDescent="0.25">
      <c r="A416" s="9" t="s">
        <v>363</v>
      </c>
      <c r="B416" s="9" t="s">
        <v>60</v>
      </c>
      <c r="C416" s="9" t="s">
        <v>130</v>
      </c>
      <c r="D416" s="9" t="s">
        <v>102</v>
      </c>
      <c r="E416" s="9">
        <v>36</v>
      </c>
      <c r="F416" s="20">
        <v>45412</v>
      </c>
      <c r="G416" s="20"/>
      <c r="H416" s="9" t="s">
        <v>51</v>
      </c>
      <c r="I416" s="21">
        <v>54200</v>
      </c>
      <c r="J416" s="9">
        <v>4</v>
      </c>
      <c r="K416" s="9">
        <v>4</v>
      </c>
      <c r="L416" s="9" t="s">
        <v>70</v>
      </c>
      <c r="M416" s="9"/>
      <c r="N416" s="9">
        <f>ROUND((IF(G416="",Analysis!$B$2,G416)-F416)/365.25,1)</f>
        <v>2.5</v>
      </c>
      <c r="O416" s="9" t="str">
        <f>IF(G416="","",YEAR(G416))</f>
        <v/>
      </c>
      <c r="P416" s="9" t="str">
        <f>IF(E416&lt;30,"&lt;30",IF(E416&lt;40,"30-39","40+"))</f>
        <v>30-39</v>
      </c>
    </row>
    <row r="417" spans="1:16" x14ac:dyDescent="0.25">
      <c r="A417" s="9" t="s">
        <v>126</v>
      </c>
      <c r="B417" s="9" t="s">
        <v>62</v>
      </c>
      <c r="C417" s="9" t="s">
        <v>116</v>
      </c>
      <c r="D417" s="9" t="s">
        <v>110</v>
      </c>
      <c r="E417" s="9">
        <v>35</v>
      </c>
      <c r="F417" s="20">
        <v>45863</v>
      </c>
      <c r="G417" s="20"/>
      <c r="H417" s="9" t="s">
        <v>51</v>
      </c>
      <c r="I417" s="21">
        <v>55400</v>
      </c>
      <c r="J417" s="9">
        <v>4</v>
      </c>
      <c r="K417" s="9">
        <v>4</v>
      </c>
      <c r="L417" s="9" t="s">
        <v>71</v>
      </c>
      <c r="M417" s="9"/>
      <c r="N417" s="9">
        <f>ROUND((IF(G417="",Analysis!$B$2,G417)-F417)/365.25,1)</f>
        <v>1.3</v>
      </c>
      <c r="O417" s="9" t="str">
        <f>IF(G417="","",YEAR(G417))</f>
        <v/>
      </c>
      <c r="P417" s="9" t="str">
        <f>IF(E417&lt;30,"&lt;30",IF(E417&lt;40,"30-39","40+"))</f>
        <v>30-39</v>
      </c>
    </row>
    <row r="418" spans="1:16" x14ac:dyDescent="0.25">
      <c r="A418" s="9" t="s">
        <v>209</v>
      </c>
      <c r="B418" s="9" t="s">
        <v>58</v>
      </c>
      <c r="C418" s="9" t="s">
        <v>121</v>
      </c>
      <c r="D418" s="9" t="s">
        <v>102</v>
      </c>
      <c r="E418" s="9">
        <v>29</v>
      </c>
      <c r="F418" s="20">
        <v>45353</v>
      </c>
      <c r="G418" s="20"/>
      <c r="H418" s="9" t="s">
        <v>51</v>
      </c>
      <c r="I418" s="21">
        <v>55700</v>
      </c>
      <c r="J418" s="9">
        <v>4</v>
      </c>
      <c r="K418" s="9">
        <v>5</v>
      </c>
      <c r="L418" s="9" t="s">
        <v>71</v>
      </c>
      <c r="M418" s="9"/>
      <c r="N418" s="9">
        <f>ROUND((IF(G418="",Analysis!$B$2,G418)-F418)/365.25,1)</f>
        <v>2.7</v>
      </c>
      <c r="O418" s="9" t="str">
        <f>IF(G418="","",YEAR(G418))</f>
        <v/>
      </c>
      <c r="P418" s="9" t="str">
        <f>IF(E418&lt;30,"&lt;30",IF(E418&lt;40,"30-39","40+"))</f>
        <v>&lt;30</v>
      </c>
    </row>
    <row r="419" spans="1:16" x14ac:dyDescent="0.25">
      <c r="A419" s="9" t="s">
        <v>412</v>
      </c>
      <c r="B419" s="9" t="s">
        <v>61</v>
      </c>
      <c r="C419" s="9" t="s">
        <v>123</v>
      </c>
      <c r="D419" s="9" t="s">
        <v>110</v>
      </c>
      <c r="E419" s="9">
        <v>34</v>
      </c>
      <c r="F419" s="20">
        <v>46033</v>
      </c>
      <c r="G419" s="20"/>
      <c r="H419" s="9" t="s">
        <v>51</v>
      </c>
      <c r="I419" s="21">
        <v>56200</v>
      </c>
      <c r="J419" s="9">
        <v>4</v>
      </c>
      <c r="K419" s="9">
        <v>2</v>
      </c>
      <c r="L419" s="9" t="s">
        <v>71</v>
      </c>
      <c r="M419" s="9"/>
      <c r="N419" s="9">
        <f>ROUND((IF(G419="",Analysis!$B$2,G419)-F419)/365.25,1)</f>
        <v>0.8</v>
      </c>
      <c r="O419" s="9" t="str">
        <f>IF(G419="","",YEAR(G419))</f>
        <v/>
      </c>
      <c r="P419" s="9" t="str">
        <f>IF(E419&lt;30,"&lt;30",IF(E419&lt;40,"30-39","40+"))</f>
        <v>30-39</v>
      </c>
    </row>
    <row r="420" spans="1:16" x14ac:dyDescent="0.25">
      <c r="A420" s="9" t="s">
        <v>431</v>
      </c>
      <c r="B420" s="9" t="s">
        <v>62</v>
      </c>
      <c r="C420" s="9" t="s">
        <v>116</v>
      </c>
      <c r="D420" s="9" t="s">
        <v>110</v>
      </c>
      <c r="E420" s="9">
        <v>34</v>
      </c>
      <c r="F420" s="20">
        <v>45304</v>
      </c>
      <c r="G420" s="20"/>
      <c r="H420" s="9" t="s">
        <v>51</v>
      </c>
      <c r="I420" s="21">
        <v>56500</v>
      </c>
      <c r="J420" s="9">
        <v>4</v>
      </c>
      <c r="K420" s="9">
        <v>4</v>
      </c>
      <c r="L420" s="9" t="s">
        <v>71</v>
      </c>
      <c r="M420" s="9"/>
      <c r="N420" s="9">
        <f>ROUND((IF(G420="",Analysis!$B$2,G420)-F420)/365.25,1)</f>
        <v>2.8</v>
      </c>
      <c r="O420" s="9" t="str">
        <f>IF(G420="","",YEAR(G420))</f>
        <v/>
      </c>
      <c r="P420" s="9" t="str">
        <f>IF(E420&lt;30,"&lt;30",IF(E420&lt;40,"30-39","40+"))</f>
        <v>30-39</v>
      </c>
    </row>
    <row r="421" spans="1:16" x14ac:dyDescent="0.25">
      <c r="A421" s="9" t="s">
        <v>315</v>
      </c>
      <c r="B421" s="9" t="s">
        <v>58</v>
      </c>
      <c r="C421" s="9" t="s">
        <v>121</v>
      </c>
      <c r="D421" s="9" t="s">
        <v>102</v>
      </c>
      <c r="E421" s="9">
        <v>22</v>
      </c>
      <c r="F421" s="20">
        <v>45389</v>
      </c>
      <c r="G421" s="20">
        <v>45912</v>
      </c>
      <c r="H421" s="9" t="s">
        <v>103</v>
      </c>
      <c r="I421" s="21">
        <v>56700</v>
      </c>
      <c r="J421" s="9">
        <v>4</v>
      </c>
      <c r="K421" s="9">
        <v>4</v>
      </c>
      <c r="L421" s="9" t="s">
        <v>71</v>
      </c>
      <c r="M421" s="9" t="s">
        <v>81</v>
      </c>
      <c r="N421" s="9">
        <f>ROUND((IF(G421="",Analysis!$B$2,G421)-F421)/365.25,1)</f>
        <v>1.4</v>
      </c>
      <c r="O421" s="9">
        <f>IF(G421="","",YEAR(G421))</f>
        <v>2025</v>
      </c>
      <c r="P421" s="9" t="str">
        <f>IF(E421&lt;30,"&lt;30",IF(E421&lt;40,"30-39","40+"))</f>
        <v>&lt;30</v>
      </c>
    </row>
    <row r="422" spans="1:16" x14ac:dyDescent="0.25">
      <c r="A422" s="9" t="s">
        <v>502</v>
      </c>
      <c r="B422" s="9" t="s">
        <v>63</v>
      </c>
      <c r="C422" s="9" t="s">
        <v>125</v>
      </c>
      <c r="D422" s="9" t="s">
        <v>110</v>
      </c>
      <c r="E422" s="9">
        <v>36</v>
      </c>
      <c r="F422" s="20">
        <v>44384</v>
      </c>
      <c r="G422" s="20"/>
      <c r="H422" s="9" t="s">
        <v>51</v>
      </c>
      <c r="I422" s="21">
        <v>56700</v>
      </c>
      <c r="J422" s="9">
        <v>4</v>
      </c>
      <c r="K422" s="9">
        <v>4</v>
      </c>
      <c r="L422" s="9" t="s">
        <v>71</v>
      </c>
      <c r="M422" s="9"/>
      <c r="N422" s="9">
        <f>ROUND((IF(G422="",Analysis!$B$2,G422)-F422)/365.25,1)</f>
        <v>5.3</v>
      </c>
      <c r="O422" s="9" t="str">
        <f>IF(G422="","",YEAR(G422))</f>
        <v/>
      </c>
      <c r="P422" s="9" t="str">
        <f>IF(E422&lt;30,"&lt;30",IF(E422&lt;40,"30-39","40+"))</f>
        <v>30-39</v>
      </c>
    </row>
    <row r="423" spans="1:16" x14ac:dyDescent="0.25">
      <c r="A423" s="9" t="s">
        <v>379</v>
      </c>
      <c r="B423" s="9" t="s">
        <v>63</v>
      </c>
      <c r="C423" s="9" t="s">
        <v>125</v>
      </c>
      <c r="D423" s="9" t="s">
        <v>110</v>
      </c>
      <c r="E423" s="9">
        <v>32</v>
      </c>
      <c r="F423" s="20">
        <v>44050</v>
      </c>
      <c r="G423" s="20"/>
      <c r="H423" s="9" t="s">
        <v>51</v>
      </c>
      <c r="I423" s="21">
        <v>56900</v>
      </c>
      <c r="J423" s="9">
        <v>4</v>
      </c>
      <c r="K423" s="9">
        <v>2</v>
      </c>
      <c r="L423" s="9" t="s">
        <v>71</v>
      </c>
      <c r="M423" s="9"/>
      <c r="N423" s="9">
        <f>ROUND((IF(G423="",Analysis!$B$2,G423)-F423)/365.25,1)</f>
        <v>6.2</v>
      </c>
      <c r="O423" s="9" t="str">
        <f>IF(G423="","",YEAR(G423))</f>
        <v/>
      </c>
      <c r="P423" s="9" t="str">
        <f>IF(E423&lt;30,"&lt;30",IF(E423&lt;40,"30-39","40+"))</f>
        <v>30-39</v>
      </c>
    </row>
    <row r="424" spans="1:16" x14ac:dyDescent="0.25">
      <c r="A424" s="9" t="s">
        <v>595</v>
      </c>
      <c r="B424" s="9" t="s">
        <v>58</v>
      </c>
      <c r="C424" s="9" t="s">
        <v>101</v>
      </c>
      <c r="D424" s="9" t="s">
        <v>102</v>
      </c>
      <c r="E424" s="9">
        <v>27</v>
      </c>
      <c r="F424" s="20">
        <v>43700</v>
      </c>
      <c r="G424" s="20"/>
      <c r="H424" s="9" t="s">
        <v>51</v>
      </c>
      <c r="I424" s="21">
        <v>57000</v>
      </c>
      <c r="J424" s="9">
        <v>4</v>
      </c>
      <c r="K424" s="9">
        <v>3</v>
      </c>
      <c r="L424" s="9" t="s">
        <v>70</v>
      </c>
      <c r="M424" s="9"/>
      <c r="N424" s="9">
        <f>ROUND((IF(G424="",Analysis!$B$2,G424)-F424)/365.25,1)</f>
        <v>7.2</v>
      </c>
      <c r="O424" s="9" t="str">
        <f>IF(G424="","",YEAR(G424))</f>
        <v/>
      </c>
      <c r="P424" s="9" t="str">
        <f>IF(E424&lt;30,"&lt;30",IF(E424&lt;40,"30-39","40+"))</f>
        <v>&lt;30</v>
      </c>
    </row>
    <row r="425" spans="1:16" x14ac:dyDescent="0.25">
      <c r="A425" s="9" t="s">
        <v>454</v>
      </c>
      <c r="B425" s="9" t="s">
        <v>57</v>
      </c>
      <c r="C425" s="9" t="s">
        <v>112</v>
      </c>
      <c r="D425" s="9" t="s">
        <v>102</v>
      </c>
      <c r="E425" s="9">
        <v>27</v>
      </c>
      <c r="F425" s="20">
        <v>44441</v>
      </c>
      <c r="G425" s="20"/>
      <c r="H425" s="9" t="s">
        <v>51</v>
      </c>
      <c r="I425" s="21">
        <v>57600</v>
      </c>
      <c r="J425" s="9">
        <v>4</v>
      </c>
      <c r="K425" s="9">
        <v>3</v>
      </c>
      <c r="L425" s="9" t="s">
        <v>70</v>
      </c>
      <c r="M425" s="9"/>
      <c r="N425" s="9">
        <f>ROUND((IF(G425="",Analysis!$B$2,G425)-F425)/365.25,1)</f>
        <v>5.0999999999999996</v>
      </c>
      <c r="O425" s="9" t="str">
        <f>IF(G425="","",YEAR(G425))</f>
        <v/>
      </c>
      <c r="P425" s="9" t="str">
        <f>IF(E425&lt;30,"&lt;30",IF(E425&lt;40,"30-39","40+"))</f>
        <v>&lt;30</v>
      </c>
    </row>
    <row r="426" spans="1:16" x14ac:dyDescent="0.25">
      <c r="A426" s="9" t="s">
        <v>274</v>
      </c>
      <c r="B426" s="9" t="s">
        <v>58</v>
      </c>
      <c r="C426" s="9" t="s">
        <v>101</v>
      </c>
      <c r="D426" s="9" t="s">
        <v>102</v>
      </c>
      <c r="E426" s="9">
        <v>26</v>
      </c>
      <c r="F426" s="20">
        <v>45491</v>
      </c>
      <c r="G426" s="20"/>
      <c r="H426" s="9" t="s">
        <v>51</v>
      </c>
      <c r="I426" s="21">
        <v>57800</v>
      </c>
      <c r="J426" s="9">
        <v>4</v>
      </c>
      <c r="K426" s="9">
        <v>5</v>
      </c>
      <c r="L426" s="9" t="s">
        <v>70</v>
      </c>
      <c r="M426" s="9"/>
      <c r="N426" s="9">
        <f>ROUND((IF(G426="",Analysis!$B$2,G426)-F426)/365.25,1)</f>
        <v>2.2999999999999998</v>
      </c>
      <c r="O426" s="9" t="str">
        <f>IF(G426="","",YEAR(G426))</f>
        <v/>
      </c>
      <c r="P426" s="9" t="str">
        <f>IF(E426&lt;30,"&lt;30",IF(E426&lt;40,"30-39","40+"))</f>
        <v>&lt;30</v>
      </c>
    </row>
    <row r="427" spans="1:16" x14ac:dyDescent="0.25">
      <c r="A427" s="9" t="s">
        <v>225</v>
      </c>
      <c r="B427" s="9" t="s">
        <v>61</v>
      </c>
      <c r="C427" s="9" t="s">
        <v>123</v>
      </c>
      <c r="D427" s="9" t="s">
        <v>102</v>
      </c>
      <c r="E427" s="9">
        <v>21</v>
      </c>
      <c r="F427" s="20">
        <v>44463</v>
      </c>
      <c r="G427" s="20">
        <v>46137</v>
      </c>
      <c r="H427" s="9" t="s">
        <v>103</v>
      </c>
      <c r="I427" s="21">
        <v>58500</v>
      </c>
      <c r="J427" s="9">
        <v>4</v>
      </c>
      <c r="K427" s="9">
        <v>2</v>
      </c>
      <c r="L427" s="9" t="s">
        <v>71</v>
      </c>
      <c r="M427" s="9" t="s">
        <v>79</v>
      </c>
      <c r="N427" s="9">
        <f>ROUND((IF(G427="",Analysis!$B$2,G427)-F427)/365.25,1)</f>
        <v>4.5999999999999996</v>
      </c>
      <c r="O427" s="9">
        <f>IF(G427="","",YEAR(G427))</f>
        <v>2026</v>
      </c>
      <c r="P427" s="9" t="str">
        <f>IF(E427&lt;30,"&lt;30",IF(E427&lt;40,"30-39","40+"))</f>
        <v>&lt;30</v>
      </c>
    </row>
    <row r="428" spans="1:16" x14ac:dyDescent="0.25">
      <c r="A428" s="9" t="s">
        <v>122</v>
      </c>
      <c r="B428" s="9" t="s">
        <v>61</v>
      </c>
      <c r="C428" s="9" t="s">
        <v>123</v>
      </c>
      <c r="D428" s="9" t="s">
        <v>102</v>
      </c>
      <c r="E428" s="9">
        <v>21</v>
      </c>
      <c r="F428" s="20">
        <v>45749</v>
      </c>
      <c r="G428" s="20"/>
      <c r="H428" s="9" t="s">
        <v>51</v>
      </c>
      <c r="I428" s="21">
        <v>58600</v>
      </c>
      <c r="J428" s="9">
        <v>4</v>
      </c>
      <c r="K428" s="9">
        <v>1</v>
      </c>
      <c r="L428" s="9" t="s">
        <v>71</v>
      </c>
      <c r="M428" s="9"/>
      <c r="N428" s="9">
        <f>ROUND((IF(G428="",Analysis!$B$2,G428)-F428)/365.25,1)</f>
        <v>1.6</v>
      </c>
      <c r="O428" s="9" t="str">
        <f>IF(G428="","",YEAR(G428))</f>
        <v/>
      </c>
      <c r="P428" s="9" t="str">
        <f>IF(E428&lt;30,"&lt;30",IF(E428&lt;40,"30-39","40+"))</f>
        <v>&lt;30</v>
      </c>
    </row>
    <row r="429" spans="1:16" x14ac:dyDescent="0.25">
      <c r="A429" s="9" t="s">
        <v>308</v>
      </c>
      <c r="B429" s="9" t="s">
        <v>58</v>
      </c>
      <c r="C429" s="9" t="s">
        <v>121</v>
      </c>
      <c r="D429" s="9" t="s">
        <v>110</v>
      </c>
      <c r="E429" s="9">
        <v>30</v>
      </c>
      <c r="F429" s="20">
        <v>45890</v>
      </c>
      <c r="G429" s="20"/>
      <c r="H429" s="9" t="s">
        <v>51</v>
      </c>
      <c r="I429" s="21">
        <v>58900</v>
      </c>
      <c r="J429" s="9">
        <v>4</v>
      </c>
      <c r="K429" s="9">
        <v>4</v>
      </c>
      <c r="L429" s="9" t="s">
        <v>71</v>
      </c>
      <c r="M429" s="9"/>
      <c r="N429" s="9">
        <f>ROUND((IF(G429="",Analysis!$B$2,G429)-F429)/365.25,1)</f>
        <v>1.2</v>
      </c>
      <c r="O429" s="9" t="str">
        <f>IF(G429="","",YEAR(G429))</f>
        <v/>
      </c>
      <c r="P429" s="9" t="str">
        <f>IF(E429&lt;30,"&lt;30",IF(E429&lt;40,"30-39","40+"))</f>
        <v>30-39</v>
      </c>
    </row>
    <row r="430" spans="1:16" x14ac:dyDescent="0.25">
      <c r="A430" s="9" t="s">
        <v>299</v>
      </c>
      <c r="B430" s="9" t="s">
        <v>62</v>
      </c>
      <c r="C430" s="9" t="s">
        <v>150</v>
      </c>
      <c r="D430" s="9" t="s">
        <v>102</v>
      </c>
      <c r="E430" s="9">
        <v>31</v>
      </c>
      <c r="F430" s="20">
        <v>44119</v>
      </c>
      <c r="G430" s="20">
        <v>44839</v>
      </c>
      <c r="H430" s="9" t="s">
        <v>103</v>
      </c>
      <c r="I430" s="21">
        <v>59200</v>
      </c>
      <c r="J430" s="9">
        <v>4</v>
      </c>
      <c r="K430" s="9">
        <v>2</v>
      </c>
      <c r="L430" s="9" t="s">
        <v>70</v>
      </c>
      <c r="M430" s="9" t="s">
        <v>81</v>
      </c>
      <c r="N430" s="9">
        <f>ROUND((IF(G430="",Analysis!$B$2,G430)-F430)/365.25,1)</f>
        <v>2</v>
      </c>
      <c r="O430" s="9">
        <f>IF(G430="","",YEAR(G430))</f>
        <v>2022</v>
      </c>
      <c r="P430" s="9" t="str">
        <f>IF(E430&lt;30,"&lt;30",IF(E430&lt;40,"30-39","40+"))</f>
        <v>30-39</v>
      </c>
    </row>
    <row r="431" spans="1:16" x14ac:dyDescent="0.25">
      <c r="A431" s="9" t="s">
        <v>405</v>
      </c>
      <c r="B431" s="9" t="s">
        <v>62</v>
      </c>
      <c r="C431" s="9" t="s">
        <v>150</v>
      </c>
      <c r="D431" s="9" t="s">
        <v>110</v>
      </c>
      <c r="E431" s="9">
        <v>37</v>
      </c>
      <c r="F431" s="20">
        <v>43674</v>
      </c>
      <c r="G431" s="20">
        <v>43840</v>
      </c>
      <c r="H431" s="9" t="s">
        <v>103</v>
      </c>
      <c r="I431" s="21">
        <v>59600</v>
      </c>
      <c r="J431" s="9">
        <v>4</v>
      </c>
      <c r="K431" s="9">
        <v>2</v>
      </c>
      <c r="L431" s="9" t="s">
        <v>71</v>
      </c>
      <c r="M431" s="9" t="s">
        <v>81</v>
      </c>
      <c r="N431" s="9">
        <f>ROUND((IF(G431="",Analysis!$B$2,G431)-F431)/365.25,1)</f>
        <v>0.5</v>
      </c>
      <c r="O431" s="9">
        <f>IF(G431="","",YEAR(G431))</f>
        <v>2020</v>
      </c>
      <c r="P431" s="9" t="str">
        <f>IF(E431&lt;30,"&lt;30",IF(E431&lt;40,"30-39","40+"))</f>
        <v>30-39</v>
      </c>
    </row>
    <row r="432" spans="1:16" x14ac:dyDescent="0.25">
      <c r="A432" s="9" t="s">
        <v>516</v>
      </c>
      <c r="B432" s="9" t="s">
        <v>62</v>
      </c>
      <c r="C432" s="9" t="s">
        <v>150</v>
      </c>
      <c r="D432" s="9" t="s">
        <v>102</v>
      </c>
      <c r="E432" s="9">
        <v>35</v>
      </c>
      <c r="F432" s="20">
        <v>45513</v>
      </c>
      <c r="G432" s="20"/>
      <c r="H432" s="9" t="s">
        <v>51</v>
      </c>
      <c r="I432" s="21">
        <v>60100</v>
      </c>
      <c r="J432" s="9">
        <v>4</v>
      </c>
      <c r="K432" s="9">
        <v>5</v>
      </c>
      <c r="L432" s="9" t="s">
        <v>71</v>
      </c>
      <c r="M432" s="9"/>
      <c r="N432" s="9">
        <f>ROUND((IF(G432="",Analysis!$B$2,G432)-F432)/365.25,1)</f>
        <v>2.2000000000000002</v>
      </c>
      <c r="O432" s="9" t="str">
        <f>IF(G432="","",YEAR(G432))</f>
        <v/>
      </c>
      <c r="P432" s="9" t="str">
        <f>IF(E432&lt;30,"&lt;30",IF(E432&lt;40,"30-39","40+"))</f>
        <v>30-39</v>
      </c>
    </row>
    <row r="433" spans="1:16" x14ac:dyDescent="0.25">
      <c r="A433" s="9" t="s">
        <v>641</v>
      </c>
      <c r="B433" s="9" t="s">
        <v>57</v>
      </c>
      <c r="C433" s="9" t="s">
        <v>112</v>
      </c>
      <c r="D433" s="9" t="s">
        <v>110</v>
      </c>
      <c r="E433" s="9">
        <v>40</v>
      </c>
      <c r="F433" s="20">
        <v>44899</v>
      </c>
      <c r="G433" s="20"/>
      <c r="H433" s="9" t="s">
        <v>51</v>
      </c>
      <c r="I433" s="21">
        <v>60900</v>
      </c>
      <c r="J433" s="9">
        <v>4</v>
      </c>
      <c r="K433" s="9">
        <v>4</v>
      </c>
      <c r="L433" s="9" t="s">
        <v>70</v>
      </c>
      <c r="M433" s="9"/>
      <c r="N433" s="9">
        <f>ROUND((IF(G433="",Analysis!$B$2,G433)-F433)/365.25,1)</f>
        <v>3.9</v>
      </c>
      <c r="O433" s="9" t="str">
        <f>IF(G433="","",YEAR(G433))</f>
        <v/>
      </c>
      <c r="P433" s="9" t="str">
        <f>IF(E433&lt;30,"&lt;30",IF(E433&lt;40,"30-39","40+"))</f>
        <v>40+</v>
      </c>
    </row>
    <row r="434" spans="1:16" x14ac:dyDescent="0.25">
      <c r="A434" s="9" t="s">
        <v>481</v>
      </c>
      <c r="B434" s="9" t="s">
        <v>62</v>
      </c>
      <c r="C434" s="9" t="s">
        <v>116</v>
      </c>
      <c r="D434" s="9" t="s">
        <v>102</v>
      </c>
      <c r="E434" s="9">
        <v>25</v>
      </c>
      <c r="F434" s="20">
        <v>43955</v>
      </c>
      <c r="G434" s="20">
        <v>45748</v>
      </c>
      <c r="H434" s="9" t="s">
        <v>103</v>
      </c>
      <c r="I434" s="21">
        <v>61000</v>
      </c>
      <c r="J434" s="9">
        <v>4</v>
      </c>
      <c r="K434" s="9">
        <v>5</v>
      </c>
      <c r="L434" s="9" t="s">
        <v>71</v>
      </c>
      <c r="M434" s="9" t="s">
        <v>85</v>
      </c>
      <c r="N434" s="9">
        <f>ROUND((IF(G434="",Analysis!$B$2,G434)-F434)/365.25,1)</f>
        <v>4.9000000000000004</v>
      </c>
      <c r="O434" s="9">
        <f>IF(G434="","",YEAR(G434))</f>
        <v>2025</v>
      </c>
      <c r="P434" s="9" t="str">
        <f>IF(E434&lt;30,"&lt;30",IF(E434&lt;40,"30-39","40+"))</f>
        <v>&lt;30</v>
      </c>
    </row>
    <row r="435" spans="1:16" x14ac:dyDescent="0.25">
      <c r="A435" s="9" t="s">
        <v>552</v>
      </c>
      <c r="B435" s="9" t="s">
        <v>57</v>
      </c>
      <c r="C435" s="9" t="s">
        <v>112</v>
      </c>
      <c r="D435" s="9" t="s">
        <v>102</v>
      </c>
      <c r="E435" s="9">
        <v>32</v>
      </c>
      <c r="F435" s="20">
        <v>44632</v>
      </c>
      <c r="G435" s="20">
        <v>45465</v>
      </c>
      <c r="H435" s="9" t="s">
        <v>103</v>
      </c>
      <c r="I435" s="21">
        <v>62000</v>
      </c>
      <c r="J435" s="9">
        <v>4</v>
      </c>
      <c r="K435" s="9">
        <v>3</v>
      </c>
      <c r="L435" s="9" t="s">
        <v>71</v>
      </c>
      <c r="M435" s="9" t="s">
        <v>85</v>
      </c>
      <c r="N435" s="9">
        <f>ROUND((IF(G435="",Analysis!$B$2,G435)-F435)/365.25,1)</f>
        <v>2.2999999999999998</v>
      </c>
      <c r="O435" s="9">
        <f>IF(G435="","",YEAR(G435))</f>
        <v>2024</v>
      </c>
      <c r="P435" s="9" t="str">
        <f>IF(E435&lt;30,"&lt;30",IF(E435&lt;40,"30-39","40+"))</f>
        <v>30-39</v>
      </c>
    </row>
    <row r="436" spans="1:16" x14ac:dyDescent="0.25">
      <c r="A436" s="9" t="s">
        <v>411</v>
      </c>
      <c r="B436" s="9" t="s">
        <v>59</v>
      </c>
      <c r="C436" s="9" t="s">
        <v>137</v>
      </c>
      <c r="D436" s="9" t="s">
        <v>102</v>
      </c>
      <c r="E436" s="9">
        <v>38</v>
      </c>
      <c r="F436" s="20">
        <v>45327</v>
      </c>
      <c r="G436" s="20">
        <v>46097</v>
      </c>
      <c r="H436" s="9" t="s">
        <v>103</v>
      </c>
      <c r="I436" s="21">
        <v>62200</v>
      </c>
      <c r="J436" s="9">
        <v>4</v>
      </c>
      <c r="K436" s="9">
        <v>5</v>
      </c>
      <c r="L436" s="9" t="s">
        <v>70</v>
      </c>
      <c r="M436" s="9" t="s">
        <v>81</v>
      </c>
      <c r="N436" s="9">
        <f>ROUND((IF(G436="",Analysis!$B$2,G436)-F436)/365.25,1)</f>
        <v>2.1</v>
      </c>
      <c r="O436" s="9">
        <f>IF(G436="","",YEAR(G436))</f>
        <v>2026</v>
      </c>
      <c r="P436" s="9" t="str">
        <f>IF(E436&lt;30,"&lt;30",IF(E436&lt;40,"30-39","40+"))</f>
        <v>30-39</v>
      </c>
    </row>
    <row r="437" spans="1:16" x14ac:dyDescent="0.25">
      <c r="A437" s="9" t="s">
        <v>192</v>
      </c>
      <c r="B437" s="9" t="s">
        <v>62</v>
      </c>
      <c r="C437" s="9" t="s">
        <v>150</v>
      </c>
      <c r="D437" s="9" t="s">
        <v>193</v>
      </c>
      <c r="E437" s="9">
        <v>29</v>
      </c>
      <c r="F437" s="20">
        <v>45072</v>
      </c>
      <c r="G437" s="20">
        <v>46051</v>
      </c>
      <c r="H437" s="9" t="s">
        <v>103</v>
      </c>
      <c r="I437" s="21">
        <v>63000</v>
      </c>
      <c r="J437" s="9">
        <v>4</v>
      </c>
      <c r="K437" s="9">
        <v>2</v>
      </c>
      <c r="L437" s="9" t="s">
        <v>71</v>
      </c>
      <c r="M437" s="9" t="s">
        <v>80</v>
      </c>
      <c r="N437" s="9">
        <f>ROUND((IF(G437="",Analysis!$B$2,G437)-F437)/365.25,1)</f>
        <v>2.7</v>
      </c>
      <c r="O437" s="9">
        <f>IF(G437="","",YEAR(G437))</f>
        <v>2026</v>
      </c>
      <c r="P437" s="9" t="str">
        <f>IF(E437&lt;30,"&lt;30",IF(E437&lt;40,"30-39","40+"))</f>
        <v>&lt;30</v>
      </c>
    </row>
    <row r="438" spans="1:16" x14ac:dyDescent="0.25">
      <c r="A438" s="9" t="s">
        <v>264</v>
      </c>
      <c r="B438" s="9" t="s">
        <v>57</v>
      </c>
      <c r="C438" s="9" t="s">
        <v>112</v>
      </c>
      <c r="D438" s="9" t="s">
        <v>102</v>
      </c>
      <c r="E438" s="9">
        <v>36</v>
      </c>
      <c r="F438" s="20">
        <v>45961</v>
      </c>
      <c r="G438" s="20"/>
      <c r="H438" s="9" t="s">
        <v>51</v>
      </c>
      <c r="I438" s="21">
        <v>63300</v>
      </c>
      <c r="J438" s="9">
        <v>4</v>
      </c>
      <c r="K438" s="9">
        <v>1</v>
      </c>
      <c r="L438" s="9" t="s">
        <v>71</v>
      </c>
      <c r="M438" s="9"/>
      <c r="N438" s="9">
        <f>ROUND((IF(G438="",Analysis!$B$2,G438)-F438)/365.25,1)</f>
        <v>1</v>
      </c>
      <c r="O438" s="9" t="str">
        <f>IF(G438="","",YEAR(G438))</f>
        <v/>
      </c>
      <c r="P438" s="9" t="str">
        <f>IF(E438&lt;30,"&lt;30",IF(E438&lt;40,"30-39","40+"))</f>
        <v>30-39</v>
      </c>
    </row>
    <row r="439" spans="1:16" x14ac:dyDescent="0.25">
      <c r="A439" s="9" t="s">
        <v>543</v>
      </c>
      <c r="B439" s="9" t="s">
        <v>60</v>
      </c>
      <c r="C439" s="9" t="s">
        <v>191</v>
      </c>
      <c r="D439" s="9" t="s">
        <v>110</v>
      </c>
      <c r="E439" s="9">
        <v>34</v>
      </c>
      <c r="F439" s="20">
        <v>45074</v>
      </c>
      <c r="G439" s="20"/>
      <c r="H439" s="9" t="s">
        <v>51</v>
      </c>
      <c r="I439" s="21">
        <v>63500</v>
      </c>
      <c r="J439" s="9">
        <v>4</v>
      </c>
      <c r="K439" s="9">
        <v>5</v>
      </c>
      <c r="L439" s="9" t="s">
        <v>70</v>
      </c>
      <c r="M439" s="9"/>
      <c r="N439" s="9">
        <f>ROUND((IF(G439="",Analysis!$B$2,G439)-F439)/365.25,1)</f>
        <v>3.4</v>
      </c>
      <c r="O439" s="9" t="str">
        <f>IF(G439="","",YEAR(G439))</f>
        <v/>
      </c>
      <c r="P439" s="9" t="str">
        <f>IF(E439&lt;30,"&lt;30",IF(E439&lt;40,"30-39","40+"))</f>
        <v>30-39</v>
      </c>
    </row>
    <row r="440" spans="1:16" x14ac:dyDescent="0.25">
      <c r="A440" s="9" t="s">
        <v>206</v>
      </c>
      <c r="B440" s="9" t="s">
        <v>57</v>
      </c>
      <c r="C440" s="9" t="s">
        <v>112</v>
      </c>
      <c r="D440" s="9" t="s">
        <v>102</v>
      </c>
      <c r="E440" s="9">
        <v>40</v>
      </c>
      <c r="F440" s="20">
        <v>45398</v>
      </c>
      <c r="G440" s="20">
        <v>45618</v>
      </c>
      <c r="H440" s="9" t="s">
        <v>103</v>
      </c>
      <c r="I440" s="21">
        <v>64000</v>
      </c>
      <c r="J440" s="9">
        <v>4</v>
      </c>
      <c r="K440" s="9">
        <v>1</v>
      </c>
      <c r="L440" s="9" t="s">
        <v>70</v>
      </c>
      <c r="M440" s="9" t="s">
        <v>79</v>
      </c>
      <c r="N440" s="9">
        <f>ROUND((IF(G440="",Analysis!$B$2,G440)-F440)/365.25,1)</f>
        <v>0.6</v>
      </c>
      <c r="O440" s="9">
        <f>IF(G440="","",YEAR(G440))</f>
        <v>2024</v>
      </c>
      <c r="P440" s="9" t="str">
        <f>IF(E440&lt;30,"&lt;30",IF(E440&lt;40,"30-39","40+"))</f>
        <v>40+</v>
      </c>
    </row>
    <row r="441" spans="1:16" x14ac:dyDescent="0.25">
      <c r="A441" s="9" t="s">
        <v>569</v>
      </c>
      <c r="B441" s="9" t="s">
        <v>57</v>
      </c>
      <c r="C441" s="9" t="s">
        <v>112</v>
      </c>
      <c r="D441" s="9" t="s">
        <v>102</v>
      </c>
      <c r="E441" s="9">
        <v>26</v>
      </c>
      <c r="F441" s="20">
        <v>45298</v>
      </c>
      <c r="G441" s="20"/>
      <c r="H441" s="9" t="s">
        <v>51</v>
      </c>
      <c r="I441" s="21">
        <v>64100</v>
      </c>
      <c r="J441" s="9">
        <v>4</v>
      </c>
      <c r="K441" s="9">
        <v>3</v>
      </c>
      <c r="L441" s="9" t="s">
        <v>70</v>
      </c>
      <c r="M441" s="9"/>
      <c r="N441" s="9">
        <f>ROUND((IF(G441="",Analysis!$B$2,G441)-F441)/365.25,1)</f>
        <v>2.8</v>
      </c>
      <c r="O441" s="9" t="str">
        <f>IF(G441="","",YEAR(G441))</f>
        <v/>
      </c>
      <c r="P441" s="9" t="str">
        <f>IF(E441&lt;30,"&lt;30",IF(E441&lt;40,"30-39","40+"))</f>
        <v>&lt;30</v>
      </c>
    </row>
    <row r="442" spans="1:16" x14ac:dyDescent="0.25">
      <c r="A442" s="9" t="s">
        <v>371</v>
      </c>
      <c r="B442" s="9" t="s">
        <v>61</v>
      </c>
      <c r="C442" s="9" t="s">
        <v>123</v>
      </c>
      <c r="D442" s="9" t="s">
        <v>110</v>
      </c>
      <c r="E442" s="9">
        <v>32</v>
      </c>
      <c r="F442" s="20">
        <v>45183</v>
      </c>
      <c r="G442" s="20"/>
      <c r="H442" s="9" t="s">
        <v>51</v>
      </c>
      <c r="I442" s="21">
        <v>64100</v>
      </c>
      <c r="J442" s="9">
        <v>4</v>
      </c>
      <c r="K442" s="9">
        <v>5</v>
      </c>
      <c r="L442" s="9" t="s">
        <v>71</v>
      </c>
      <c r="M442" s="9"/>
      <c r="N442" s="9">
        <f>ROUND((IF(G442="",Analysis!$B$2,G442)-F442)/365.25,1)</f>
        <v>3.1</v>
      </c>
      <c r="O442" s="9" t="str">
        <f>IF(G442="","",YEAR(G442))</f>
        <v/>
      </c>
      <c r="P442" s="9" t="str">
        <f>IF(E442&lt;30,"&lt;30",IF(E442&lt;40,"30-39","40+"))</f>
        <v>30-39</v>
      </c>
    </row>
    <row r="443" spans="1:16" x14ac:dyDescent="0.25">
      <c r="A443" s="9" t="s">
        <v>234</v>
      </c>
      <c r="B443" s="9" t="s">
        <v>62</v>
      </c>
      <c r="C443" s="9" t="s">
        <v>116</v>
      </c>
      <c r="D443" s="9" t="s">
        <v>110</v>
      </c>
      <c r="E443" s="9">
        <v>34</v>
      </c>
      <c r="F443" s="20">
        <v>43855</v>
      </c>
      <c r="G443" s="20"/>
      <c r="H443" s="9" t="s">
        <v>51</v>
      </c>
      <c r="I443" s="21">
        <v>64100</v>
      </c>
      <c r="J443" s="9">
        <v>4</v>
      </c>
      <c r="K443" s="9">
        <v>5</v>
      </c>
      <c r="L443" s="9" t="s">
        <v>70</v>
      </c>
      <c r="M443" s="9"/>
      <c r="N443" s="9">
        <f>ROUND((IF(G443="",Analysis!$B$2,G443)-F443)/365.25,1)</f>
        <v>6.8</v>
      </c>
      <c r="O443" s="9" t="str">
        <f>IF(G443="","",YEAR(G443))</f>
        <v/>
      </c>
      <c r="P443" s="9" t="str">
        <f>IF(E443&lt;30,"&lt;30",IF(E443&lt;40,"30-39","40+"))</f>
        <v>30-39</v>
      </c>
    </row>
    <row r="444" spans="1:16" x14ac:dyDescent="0.25">
      <c r="A444" s="9" t="s">
        <v>250</v>
      </c>
      <c r="B444" s="9" t="s">
        <v>61</v>
      </c>
      <c r="C444" s="9" t="s">
        <v>123</v>
      </c>
      <c r="D444" s="9" t="s">
        <v>102</v>
      </c>
      <c r="E444" s="9">
        <v>38</v>
      </c>
      <c r="F444" s="20">
        <v>45858</v>
      </c>
      <c r="G444" s="20"/>
      <c r="H444" s="9" t="s">
        <v>51</v>
      </c>
      <c r="I444" s="21">
        <v>64600</v>
      </c>
      <c r="J444" s="9">
        <v>4</v>
      </c>
      <c r="K444" s="9">
        <v>1</v>
      </c>
      <c r="L444" s="9" t="s">
        <v>70</v>
      </c>
      <c r="M444" s="9"/>
      <c r="N444" s="9">
        <f>ROUND((IF(G444="",Analysis!$B$2,G444)-F444)/365.25,1)</f>
        <v>1.3</v>
      </c>
      <c r="O444" s="9" t="str">
        <f>IF(G444="","",YEAR(G444))</f>
        <v/>
      </c>
      <c r="P444" s="9" t="str">
        <f>IF(E444&lt;30,"&lt;30",IF(E444&lt;40,"30-39","40+"))</f>
        <v>30-39</v>
      </c>
    </row>
    <row r="445" spans="1:16" x14ac:dyDescent="0.25">
      <c r="A445" s="9" t="s">
        <v>302</v>
      </c>
      <c r="B445" s="9" t="s">
        <v>60</v>
      </c>
      <c r="C445" s="9" t="s">
        <v>191</v>
      </c>
      <c r="D445" s="9" t="s">
        <v>102</v>
      </c>
      <c r="E445" s="9">
        <v>26</v>
      </c>
      <c r="F445" s="20">
        <v>44201</v>
      </c>
      <c r="G445" s="20"/>
      <c r="H445" s="9" t="s">
        <v>51</v>
      </c>
      <c r="I445" s="21">
        <v>64700</v>
      </c>
      <c r="J445" s="9">
        <v>4</v>
      </c>
      <c r="K445" s="9">
        <v>1</v>
      </c>
      <c r="L445" s="9" t="s">
        <v>71</v>
      </c>
      <c r="M445" s="9"/>
      <c r="N445" s="9">
        <f>ROUND((IF(G445="",Analysis!$B$2,G445)-F445)/365.25,1)</f>
        <v>5.8</v>
      </c>
      <c r="O445" s="9" t="str">
        <f>IF(G445="","",YEAR(G445))</f>
        <v/>
      </c>
      <c r="P445" s="9" t="str">
        <f>IF(E445&lt;30,"&lt;30",IF(E445&lt;40,"30-39","40+"))</f>
        <v>&lt;30</v>
      </c>
    </row>
    <row r="446" spans="1:16" x14ac:dyDescent="0.25">
      <c r="A446" s="9" t="s">
        <v>136</v>
      </c>
      <c r="B446" s="9" t="s">
        <v>59</v>
      </c>
      <c r="C446" s="9" t="s">
        <v>137</v>
      </c>
      <c r="D446" s="9" t="s">
        <v>102</v>
      </c>
      <c r="E446" s="9">
        <v>37</v>
      </c>
      <c r="F446" s="20">
        <v>43746</v>
      </c>
      <c r="G446" s="20"/>
      <c r="H446" s="9" t="s">
        <v>51</v>
      </c>
      <c r="I446" s="21">
        <v>64800</v>
      </c>
      <c r="J446" s="9">
        <v>4</v>
      </c>
      <c r="K446" s="9">
        <v>3</v>
      </c>
      <c r="L446" s="9" t="s">
        <v>71</v>
      </c>
      <c r="M446" s="9"/>
      <c r="N446" s="9">
        <f>ROUND((IF(G446="",Analysis!$B$2,G446)-F446)/365.25,1)</f>
        <v>7.1</v>
      </c>
      <c r="O446" s="9" t="str">
        <f>IF(G446="","",YEAR(G446))</f>
        <v/>
      </c>
      <c r="P446" s="9" t="str">
        <f>IF(E446&lt;30,"&lt;30",IF(E446&lt;40,"30-39","40+"))</f>
        <v>30-39</v>
      </c>
    </row>
    <row r="447" spans="1:16" x14ac:dyDescent="0.25">
      <c r="A447" s="9" t="s">
        <v>326</v>
      </c>
      <c r="B447" s="9" t="s">
        <v>59</v>
      </c>
      <c r="C447" s="9" t="s">
        <v>137</v>
      </c>
      <c r="D447" s="9" t="s">
        <v>110</v>
      </c>
      <c r="E447" s="9">
        <v>31</v>
      </c>
      <c r="F447" s="20">
        <v>43664</v>
      </c>
      <c r="G447" s="20"/>
      <c r="H447" s="9" t="s">
        <v>51</v>
      </c>
      <c r="I447" s="21">
        <v>64900</v>
      </c>
      <c r="J447" s="9">
        <v>4</v>
      </c>
      <c r="K447" s="9">
        <v>2</v>
      </c>
      <c r="L447" s="9" t="s">
        <v>71</v>
      </c>
      <c r="M447" s="9"/>
      <c r="N447" s="9">
        <f>ROUND((IF(G447="",Analysis!$B$2,G447)-F447)/365.25,1)</f>
        <v>7.3</v>
      </c>
      <c r="O447" s="9" t="str">
        <f>IF(G447="","",YEAR(G447))</f>
        <v/>
      </c>
      <c r="P447" s="9" t="str">
        <f>IF(E447&lt;30,"&lt;30",IF(E447&lt;40,"30-39","40+"))</f>
        <v>30-39</v>
      </c>
    </row>
    <row r="448" spans="1:16" x14ac:dyDescent="0.25">
      <c r="A448" s="9" t="s">
        <v>340</v>
      </c>
      <c r="B448" s="9" t="s">
        <v>58</v>
      </c>
      <c r="C448" s="9" t="s">
        <v>121</v>
      </c>
      <c r="D448" s="9" t="s">
        <v>102</v>
      </c>
      <c r="E448" s="9">
        <v>31</v>
      </c>
      <c r="F448" s="20">
        <v>45009</v>
      </c>
      <c r="G448" s="20">
        <v>45363</v>
      </c>
      <c r="H448" s="9" t="s">
        <v>103</v>
      </c>
      <c r="I448" s="21">
        <v>65700</v>
      </c>
      <c r="J448" s="9">
        <v>4</v>
      </c>
      <c r="K448" s="9">
        <v>3</v>
      </c>
      <c r="L448" s="9" t="s">
        <v>71</v>
      </c>
      <c r="M448" s="9" t="s">
        <v>82</v>
      </c>
      <c r="N448" s="9">
        <f>ROUND((IF(G448="",Analysis!$B$2,G448)-F448)/365.25,1)</f>
        <v>1</v>
      </c>
      <c r="O448" s="9">
        <f>IF(G448="","",YEAR(G448))</f>
        <v>2024</v>
      </c>
      <c r="P448" s="9" t="str">
        <f>IF(E448&lt;30,"&lt;30",IF(E448&lt;40,"30-39","40+"))</f>
        <v>30-39</v>
      </c>
    </row>
    <row r="449" spans="1:16" x14ac:dyDescent="0.25">
      <c r="A449" s="9" t="s">
        <v>381</v>
      </c>
      <c r="B449" s="9" t="s">
        <v>59</v>
      </c>
      <c r="C449" s="9" t="s">
        <v>137</v>
      </c>
      <c r="D449" s="9" t="s">
        <v>102</v>
      </c>
      <c r="E449" s="9">
        <v>33</v>
      </c>
      <c r="F449" s="20">
        <v>46263</v>
      </c>
      <c r="G449" s="20"/>
      <c r="H449" s="9" t="s">
        <v>51</v>
      </c>
      <c r="I449" s="21">
        <v>66100</v>
      </c>
      <c r="J449" s="9">
        <v>4</v>
      </c>
      <c r="K449" s="9">
        <v>4</v>
      </c>
      <c r="L449" s="9" t="s">
        <v>71</v>
      </c>
      <c r="M449" s="9"/>
      <c r="N449" s="9">
        <f>ROUND((IF(G449="",Analysis!$B$2,G449)-F449)/365.25,1)</f>
        <v>0.2</v>
      </c>
      <c r="O449" s="9" t="str">
        <f>IF(G449="","",YEAR(G449))</f>
        <v/>
      </c>
      <c r="P449" s="9" t="str">
        <f>IF(E449&lt;30,"&lt;30",IF(E449&lt;40,"30-39","40+"))</f>
        <v>30-39</v>
      </c>
    </row>
    <row r="450" spans="1:16" x14ac:dyDescent="0.25">
      <c r="A450" s="9" t="s">
        <v>511</v>
      </c>
      <c r="B450" s="9" t="s">
        <v>57</v>
      </c>
      <c r="C450" s="9" t="s">
        <v>139</v>
      </c>
      <c r="D450" s="9" t="s">
        <v>102</v>
      </c>
      <c r="E450" s="9">
        <v>42</v>
      </c>
      <c r="F450" s="20">
        <v>43550</v>
      </c>
      <c r="G450" s="20">
        <v>45557</v>
      </c>
      <c r="H450" s="9" t="s">
        <v>103</v>
      </c>
      <c r="I450" s="21">
        <v>66700</v>
      </c>
      <c r="J450" s="9">
        <v>4</v>
      </c>
      <c r="K450" s="9">
        <v>2</v>
      </c>
      <c r="L450" s="9" t="s">
        <v>70</v>
      </c>
      <c r="M450" s="9" t="s">
        <v>81</v>
      </c>
      <c r="N450" s="9">
        <f>ROUND((IF(G450="",Analysis!$B$2,G450)-F450)/365.25,1)</f>
        <v>5.5</v>
      </c>
      <c r="O450" s="9">
        <f>IF(G450="","",YEAR(G450))</f>
        <v>2024</v>
      </c>
      <c r="P450" s="9" t="str">
        <f>IF(E450&lt;30,"&lt;30",IF(E450&lt;40,"30-39","40+"))</f>
        <v>40+</v>
      </c>
    </row>
    <row r="451" spans="1:16" x14ac:dyDescent="0.25">
      <c r="A451" s="9" t="s">
        <v>571</v>
      </c>
      <c r="B451" s="9" t="s">
        <v>63</v>
      </c>
      <c r="C451" s="9" t="s">
        <v>105</v>
      </c>
      <c r="D451" s="9" t="s">
        <v>193</v>
      </c>
      <c r="E451" s="9">
        <v>27</v>
      </c>
      <c r="F451" s="20">
        <v>43765</v>
      </c>
      <c r="G451" s="20">
        <v>44393</v>
      </c>
      <c r="H451" s="9" t="s">
        <v>103</v>
      </c>
      <c r="I451" s="21">
        <v>66800</v>
      </c>
      <c r="J451" s="9">
        <v>4</v>
      </c>
      <c r="K451" s="9">
        <v>2</v>
      </c>
      <c r="L451" s="9" t="s">
        <v>71</v>
      </c>
      <c r="M451" s="9" t="s">
        <v>79</v>
      </c>
      <c r="N451" s="9">
        <f>ROUND((IF(G451="",Analysis!$B$2,G451)-F451)/365.25,1)</f>
        <v>1.7</v>
      </c>
      <c r="O451" s="9">
        <f>IF(G451="","",YEAR(G451))</f>
        <v>2021</v>
      </c>
      <c r="P451" s="9" t="str">
        <f>IF(E451&lt;30,"&lt;30",IF(E451&lt;40,"30-39","40+"))</f>
        <v>&lt;30</v>
      </c>
    </row>
    <row r="452" spans="1:16" x14ac:dyDescent="0.25">
      <c r="A452" s="9" t="s">
        <v>587</v>
      </c>
      <c r="B452" s="9" t="s">
        <v>57</v>
      </c>
      <c r="C452" s="9" t="s">
        <v>139</v>
      </c>
      <c r="D452" s="9" t="s">
        <v>102</v>
      </c>
      <c r="E452" s="9">
        <v>33</v>
      </c>
      <c r="F452" s="20">
        <v>45668</v>
      </c>
      <c r="G452" s="20">
        <v>46150</v>
      </c>
      <c r="H452" s="9" t="s">
        <v>103</v>
      </c>
      <c r="I452" s="21">
        <v>67200</v>
      </c>
      <c r="J452" s="9">
        <v>4</v>
      </c>
      <c r="K452" s="9">
        <v>3</v>
      </c>
      <c r="L452" s="9" t="s">
        <v>70</v>
      </c>
      <c r="M452" s="9" t="s">
        <v>84</v>
      </c>
      <c r="N452" s="9">
        <f>ROUND((IF(G452="",Analysis!$B$2,G452)-F452)/365.25,1)</f>
        <v>1.3</v>
      </c>
      <c r="O452" s="9">
        <f>IF(G452="","",YEAR(G452))</f>
        <v>2026</v>
      </c>
      <c r="P452" s="9" t="str">
        <f>IF(E452&lt;30,"&lt;30",IF(E452&lt;40,"30-39","40+"))</f>
        <v>30-39</v>
      </c>
    </row>
    <row r="453" spans="1:16" x14ac:dyDescent="0.25">
      <c r="A453" s="9" t="s">
        <v>329</v>
      </c>
      <c r="B453" s="9" t="s">
        <v>62</v>
      </c>
      <c r="C453" s="9" t="s">
        <v>150</v>
      </c>
      <c r="D453" s="9" t="s">
        <v>102</v>
      </c>
      <c r="E453" s="9">
        <v>36</v>
      </c>
      <c r="F453" s="20">
        <v>45233</v>
      </c>
      <c r="G453" s="20"/>
      <c r="H453" s="9" t="s">
        <v>51</v>
      </c>
      <c r="I453" s="21">
        <v>67200</v>
      </c>
      <c r="J453" s="9">
        <v>4</v>
      </c>
      <c r="K453" s="9">
        <v>3</v>
      </c>
      <c r="L453" s="9" t="s">
        <v>70</v>
      </c>
      <c r="M453" s="9"/>
      <c r="N453" s="9">
        <f>ROUND((IF(G453="",Analysis!$B$2,G453)-F453)/365.25,1)</f>
        <v>3</v>
      </c>
      <c r="O453" s="9" t="str">
        <f>IF(G453="","",YEAR(G453))</f>
        <v/>
      </c>
      <c r="P453" s="9" t="str">
        <f>IF(E453&lt;30,"&lt;30",IF(E453&lt;40,"30-39","40+"))</f>
        <v>30-39</v>
      </c>
    </row>
    <row r="454" spans="1:16" x14ac:dyDescent="0.25">
      <c r="A454" s="9" t="s">
        <v>546</v>
      </c>
      <c r="B454" s="9" t="s">
        <v>57</v>
      </c>
      <c r="C454" s="9" t="s">
        <v>112</v>
      </c>
      <c r="D454" s="9" t="s">
        <v>102</v>
      </c>
      <c r="E454" s="9">
        <v>44</v>
      </c>
      <c r="F454" s="20">
        <v>43766</v>
      </c>
      <c r="G454" s="20"/>
      <c r="H454" s="9" t="s">
        <v>51</v>
      </c>
      <c r="I454" s="21">
        <v>68300</v>
      </c>
      <c r="J454" s="9">
        <v>4</v>
      </c>
      <c r="K454" s="9">
        <v>4</v>
      </c>
      <c r="L454" s="9" t="s">
        <v>71</v>
      </c>
      <c r="M454" s="9"/>
      <c r="N454" s="9">
        <f>ROUND((IF(G454="",Analysis!$B$2,G454)-F454)/365.25,1)</f>
        <v>7</v>
      </c>
      <c r="O454" s="9" t="str">
        <f>IF(G454="","",YEAR(G454))</f>
        <v/>
      </c>
      <c r="P454" s="9" t="str">
        <f>IF(E454&lt;30,"&lt;30",IF(E454&lt;40,"30-39","40+"))</f>
        <v>40+</v>
      </c>
    </row>
    <row r="455" spans="1:16" x14ac:dyDescent="0.25">
      <c r="A455" s="9" t="s">
        <v>485</v>
      </c>
      <c r="B455" s="9" t="s">
        <v>62</v>
      </c>
      <c r="C455" s="9" t="s">
        <v>150</v>
      </c>
      <c r="D455" s="9" t="s">
        <v>110</v>
      </c>
      <c r="E455" s="9">
        <v>21</v>
      </c>
      <c r="F455" s="20">
        <v>43381</v>
      </c>
      <c r="G455" s="20"/>
      <c r="H455" s="9" t="s">
        <v>51</v>
      </c>
      <c r="I455" s="21">
        <v>68600</v>
      </c>
      <c r="J455" s="9">
        <v>4</v>
      </c>
      <c r="K455" s="9">
        <v>3</v>
      </c>
      <c r="L455" s="9" t="s">
        <v>70</v>
      </c>
      <c r="M455" s="9"/>
      <c r="N455" s="9">
        <f>ROUND((IF(G455="",Analysis!$B$2,G455)-F455)/365.25,1)</f>
        <v>8.1</v>
      </c>
      <c r="O455" s="9" t="str">
        <f>IF(G455="","",YEAR(G455))</f>
        <v/>
      </c>
      <c r="P455" s="9" t="str">
        <f>IF(E455&lt;30,"&lt;30",IF(E455&lt;40,"30-39","40+"))</f>
        <v>&lt;30</v>
      </c>
    </row>
    <row r="456" spans="1:16" x14ac:dyDescent="0.25">
      <c r="A456" s="9" t="s">
        <v>477</v>
      </c>
      <c r="B456" s="9" t="s">
        <v>62</v>
      </c>
      <c r="C456" s="9" t="s">
        <v>150</v>
      </c>
      <c r="D456" s="9" t="s">
        <v>110</v>
      </c>
      <c r="E456" s="9">
        <v>24</v>
      </c>
      <c r="F456" s="20">
        <v>44046</v>
      </c>
      <c r="G456" s="20"/>
      <c r="H456" s="9" t="s">
        <v>51</v>
      </c>
      <c r="I456" s="21">
        <v>69000</v>
      </c>
      <c r="J456" s="9">
        <v>4</v>
      </c>
      <c r="K456" s="9">
        <v>3</v>
      </c>
      <c r="L456" s="9" t="s">
        <v>71</v>
      </c>
      <c r="M456" s="9"/>
      <c r="N456" s="9">
        <f>ROUND((IF(G456="",Analysis!$B$2,G456)-F456)/365.25,1)</f>
        <v>6.2</v>
      </c>
      <c r="O456" s="9" t="str">
        <f>IF(G456="","",YEAR(G456))</f>
        <v/>
      </c>
      <c r="P456" s="9" t="str">
        <f>IF(E456&lt;30,"&lt;30",IF(E456&lt;40,"30-39","40+"))</f>
        <v>&lt;30</v>
      </c>
    </row>
    <row r="457" spans="1:16" x14ac:dyDescent="0.25">
      <c r="A457" s="9" t="s">
        <v>251</v>
      </c>
      <c r="B457" s="9" t="s">
        <v>59</v>
      </c>
      <c r="C457" s="9" t="s">
        <v>137</v>
      </c>
      <c r="D457" s="9" t="s">
        <v>102</v>
      </c>
      <c r="E457" s="9">
        <v>25</v>
      </c>
      <c r="F457" s="20">
        <v>44126</v>
      </c>
      <c r="G457" s="20"/>
      <c r="H457" s="9" t="s">
        <v>51</v>
      </c>
      <c r="I457" s="21">
        <v>69200</v>
      </c>
      <c r="J457" s="9">
        <v>4</v>
      </c>
      <c r="K457" s="9">
        <v>4</v>
      </c>
      <c r="L457" s="9" t="s">
        <v>70</v>
      </c>
      <c r="M457" s="9"/>
      <c r="N457" s="9">
        <f>ROUND((IF(G457="",Analysis!$B$2,G457)-F457)/365.25,1)</f>
        <v>6</v>
      </c>
      <c r="O457" s="9" t="str">
        <f>IF(G457="","",YEAR(G457))</f>
        <v/>
      </c>
      <c r="P457" s="9" t="str">
        <f>IF(E457&lt;30,"&lt;30",IF(E457&lt;40,"30-39","40+"))</f>
        <v>&lt;30</v>
      </c>
    </row>
    <row r="458" spans="1:16" x14ac:dyDescent="0.25">
      <c r="A458" s="9" t="s">
        <v>505</v>
      </c>
      <c r="B458" s="9" t="s">
        <v>60</v>
      </c>
      <c r="C458" s="9" t="s">
        <v>191</v>
      </c>
      <c r="D458" s="9" t="s">
        <v>102</v>
      </c>
      <c r="E458" s="9">
        <v>21</v>
      </c>
      <c r="F458" s="20">
        <v>46076</v>
      </c>
      <c r="G458" s="20"/>
      <c r="H458" s="9" t="s">
        <v>51</v>
      </c>
      <c r="I458" s="21">
        <v>69400</v>
      </c>
      <c r="J458" s="9">
        <v>4</v>
      </c>
      <c r="K458" s="9">
        <v>4</v>
      </c>
      <c r="L458" s="9" t="s">
        <v>71</v>
      </c>
      <c r="M458" s="9"/>
      <c r="N458" s="9">
        <f>ROUND((IF(G458="",Analysis!$B$2,G458)-F458)/365.25,1)</f>
        <v>0.7</v>
      </c>
      <c r="O458" s="9" t="str">
        <f>IF(G458="","",YEAR(G458))</f>
        <v/>
      </c>
      <c r="P458" s="9" t="str">
        <f>IF(E458&lt;30,"&lt;30",IF(E458&lt;40,"30-39","40+"))</f>
        <v>&lt;30</v>
      </c>
    </row>
    <row r="459" spans="1:16" x14ac:dyDescent="0.25">
      <c r="A459" s="9" t="s">
        <v>640</v>
      </c>
      <c r="B459" s="9" t="s">
        <v>59</v>
      </c>
      <c r="C459" s="9" t="s">
        <v>137</v>
      </c>
      <c r="D459" s="9" t="s">
        <v>110</v>
      </c>
      <c r="E459" s="9">
        <v>31</v>
      </c>
      <c r="F459" s="20">
        <v>45105</v>
      </c>
      <c r="G459" s="20"/>
      <c r="H459" s="9" t="s">
        <v>51</v>
      </c>
      <c r="I459" s="21">
        <v>69400</v>
      </c>
      <c r="J459" s="9">
        <v>4</v>
      </c>
      <c r="K459" s="9">
        <v>4</v>
      </c>
      <c r="L459" s="9" t="s">
        <v>70</v>
      </c>
      <c r="M459" s="9"/>
      <c r="N459" s="9">
        <f>ROUND((IF(G459="",Analysis!$B$2,G459)-F459)/365.25,1)</f>
        <v>3.3</v>
      </c>
      <c r="O459" s="9" t="str">
        <f>IF(G459="","",YEAR(G459))</f>
        <v/>
      </c>
      <c r="P459" s="9" t="str">
        <f>IF(E459&lt;30,"&lt;30",IF(E459&lt;40,"30-39","40+"))</f>
        <v>30-39</v>
      </c>
    </row>
    <row r="460" spans="1:16" x14ac:dyDescent="0.25">
      <c r="A460" s="9" t="s">
        <v>248</v>
      </c>
      <c r="B460" s="9" t="s">
        <v>58</v>
      </c>
      <c r="C460" s="9" t="s">
        <v>121</v>
      </c>
      <c r="D460" s="9" t="s">
        <v>110</v>
      </c>
      <c r="E460" s="9">
        <v>31</v>
      </c>
      <c r="F460" s="20">
        <v>45398</v>
      </c>
      <c r="G460" s="20"/>
      <c r="H460" s="9" t="s">
        <v>51</v>
      </c>
      <c r="I460" s="21">
        <v>69800</v>
      </c>
      <c r="J460" s="9">
        <v>4</v>
      </c>
      <c r="K460" s="9">
        <v>4</v>
      </c>
      <c r="L460" s="9" t="s">
        <v>71</v>
      </c>
      <c r="M460" s="9"/>
      <c r="N460" s="9">
        <f>ROUND((IF(G460="",Analysis!$B$2,G460)-F460)/365.25,1)</f>
        <v>2.5</v>
      </c>
      <c r="O460" s="9" t="str">
        <f>IF(G460="","",YEAR(G460))</f>
        <v/>
      </c>
      <c r="P460" s="9" t="str">
        <f>IF(E460&lt;30,"&lt;30",IF(E460&lt;40,"30-39","40+"))</f>
        <v>30-39</v>
      </c>
    </row>
    <row r="461" spans="1:16" x14ac:dyDescent="0.25">
      <c r="A461" s="9" t="s">
        <v>237</v>
      </c>
      <c r="B461" s="9" t="s">
        <v>62</v>
      </c>
      <c r="C461" s="9" t="s">
        <v>150</v>
      </c>
      <c r="D461" s="9" t="s">
        <v>102</v>
      </c>
      <c r="E461" s="9">
        <v>25</v>
      </c>
      <c r="F461" s="20">
        <v>45521</v>
      </c>
      <c r="G461" s="20"/>
      <c r="H461" s="9" t="s">
        <v>51</v>
      </c>
      <c r="I461" s="21">
        <v>70500</v>
      </c>
      <c r="J461" s="9">
        <v>4</v>
      </c>
      <c r="K461" s="9">
        <v>4</v>
      </c>
      <c r="L461" s="9" t="s">
        <v>71</v>
      </c>
      <c r="M461" s="9"/>
      <c r="N461" s="9">
        <f>ROUND((IF(G461="",Analysis!$B$2,G461)-F461)/365.25,1)</f>
        <v>2.2000000000000002</v>
      </c>
      <c r="O461" s="9" t="str">
        <f>IF(G461="","",YEAR(G461))</f>
        <v/>
      </c>
      <c r="P461" s="9" t="str">
        <f>IF(E461&lt;30,"&lt;30",IF(E461&lt;40,"30-39","40+"))</f>
        <v>&lt;30</v>
      </c>
    </row>
    <row r="462" spans="1:16" x14ac:dyDescent="0.25">
      <c r="A462" s="9" t="s">
        <v>674</v>
      </c>
      <c r="B462" s="9" t="s">
        <v>62</v>
      </c>
      <c r="C462" s="9" t="s">
        <v>150</v>
      </c>
      <c r="D462" s="9" t="s">
        <v>102</v>
      </c>
      <c r="E462" s="9">
        <v>28</v>
      </c>
      <c r="F462" s="20">
        <v>43885</v>
      </c>
      <c r="G462" s="20">
        <v>44879</v>
      </c>
      <c r="H462" s="9" t="s">
        <v>103</v>
      </c>
      <c r="I462" s="21">
        <v>71800</v>
      </c>
      <c r="J462" s="9">
        <v>4</v>
      </c>
      <c r="K462" s="9">
        <v>4</v>
      </c>
      <c r="L462" s="9" t="s">
        <v>70</v>
      </c>
      <c r="M462" s="9" t="s">
        <v>83</v>
      </c>
      <c r="N462" s="9">
        <f>ROUND((IF(G462="",Analysis!$B$2,G462)-F462)/365.25,1)</f>
        <v>2.7</v>
      </c>
      <c r="O462" s="9">
        <f>IF(G462="","",YEAR(G462))</f>
        <v>2022</v>
      </c>
      <c r="P462" s="9" t="str">
        <f>IF(E462&lt;30,"&lt;30",IF(E462&lt;40,"30-39","40+"))</f>
        <v>&lt;30</v>
      </c>
    </row>
    <row r="463" spans="1:16" x14ac:dyDescent="0.25">
      <c r="A463" s="9" t="s">
        <v>212</v>
      </c>
      <c r="B463" s="9" t="s">
        <v>62</v>
      </c>
      <c r="C463" s="9" t="s">
        <v>150</v>
      </c>
      <c r="D463" s="9" t="s">
        <v>102</v>
      </c>
      <c r="E463" s="9">
        <v>35</v>
      </c>
      <c r="F463" s="20">
        <v>45063</v>
      </c>
      <c r="G463" s="20">
        <v>46202</v>
      </c>
      <c r="H463" s="9" t="s">
        <v>103</v>
      </c>
      <c r="I463" s="21">
        <v>71900</v>
      </c>
      <c r="J463" s="9">
        <v>4</v>
      </c>
      <c r="K463" s="9">
        <v>2</v>
      </c>
      <c r="L463" s="9" t="s">
        <v>70</v>
      </c>
      <c r="M463" s="9" t="s">
        <v>79</v>
      </c>
      <c r="N463" s="9">
        <f>ROUND((IF(G463="",Analysis!$B$2,G463)-F463)/365.25,1)</f>
        <v>3.1</v>
      </c>
      <c r="O463" s="9">
        <f>IF(G463="","",YEAR(G463))</f>
        <v>2026</v>
      </c>
      <c r="P463" s="9" t="str">
        <f>IF(E463&lt;30,"&lt;30",IF(E463&lt;40,"30-39","40+"))</f>
        <v>30-39</v>
      </c>
    </row>
    <row r="464" spans="1:16" x14ac:dyDescent="0.25">
      <c r="A464" s="9" t="s">
        <v>566</v>
      </c>
      <c r="B464" s="9" t="s">
        <v>63</v>
      </c>
      <c r="C464" s="9" t="s">
        <v>105</v>
      </c>
      <c r="D464" s="9" t="s">
        <v>110</v>
      </c>
      <c r="E464" s="9">
        <v>31</v>
      </c>
      <c r="F464" s="20">
        <v>43193</v>
      </c>
      <c r="G464" s="20"/>
      <c r="H464" s="9" t="s">
        <v>51</v>
      </c>
      <c r="I464" s="21">
        <v>72700</v>
      </c>
      <c r="J464" s="9">
        <v>4</v>
      </c>
      <c r="K464" s="9">
        <v>3</v>
      </c>
      <c r="L464" s="9" t="s">
        <v>71</v>
      </c>
      <c r="M464" s="9"/>
      <c r="N464" s="9">
        <f>ROUND((IF(G464="",Analysis!$B$2,G464)-F464)/365.25,1)</f>
        <v>8.6</v>
      </c>
      <c r="O464" s="9" t="str">
        <f>IF(G464="","",YEAR(G464))</f>
        <v/>
      </c>
      <c r="P464" s="9" t="str">
        <f>IF(E464&lt;30,"&lt;30",IF(E464&lt;40,"30-39","40+"))</f>
        <v>30-39</v>
      </c>
    </row>
    <row r="465" spans="1:16" x14ac:dyDescent="0.25">
      <c r="A465" s="9" t="s">
        <v>623</v>
      </c>
      <c r="B465" s="9" t="s">
        <v>58</v>
      </c>
      <c r="C465" s="9" t="s">
        <v>121</v>
      </c>
      <c r="D465" s="9" t="s">
        <v>110</v>
      </c>
      <c r="E465" s="9">
        <v>38</v>
      </c>
      <c r="F465" s="20">
        <v>44634</v>
      </c>
      <c r="G465" s="20"/>
      <c r="H465" s="9" t="s">
        <v>51</v>
      </c>
      <c r="I465" s="21">
        <v>72700</v>
      </c>
      <c r="J465" s="9">
        <v>4</v>
      </c>
      <c r="K465" s="9">
        <v>3</v>
      </c>
      <c r="L465" s="9" t="s">
        <v>71</v>
      </c>
      <c r="M465" s="9"/>
      <c r="N465" s="9">
        <f>ROUND((IF(G465="",Analysis!$B$2,G465)-F465)/365.25,1)</f>
        <v>4.5999999999999996</v>
      </c>
      <c r="O465" s="9" t="str">
        <f>IF(G465="","",YEAR(G465))</f>
        <v/>
      </c>
      <c r="P465" s="9" t="str">
        <f>IF(E465&lt;30,"&lt;30",IF(E465&lt;40,"30-39","40+"))</f>
        <v>30-39</v>
      </c>
    </row>
    <row r="466" spans="1:16" x14ac:dyDescent="0.25">
      <c r="A466" s="9" t="s">
        <v>296</v>
      </c>
      <c r="B466" s="9" t="s">
        <v>59</v>
      </c>
      <c r="C466" s="9" t="s">
        <v>137</v>
      </c>
      <c r="D466" s="9" t="s">
        <v>102</v>
      </c>
      <c r="E466" s="9">
        <v>41</v>
      </c>
      <c r="F466" s="20">
        <v>43780</v>
      </c>
      <c r="G466" s="20"/>
      <c r="H466" s="9" t="s">
        <v>51</v>
      </c>
      <c r="I466" s="21">
        <v>73500</v>
      </c>
      <c r="J466" s="9">
        <v>4</v>
      </c>
      <c r="K466" s="9">
        <v>4</v>
      </c>
      <c r="L466" s="9" t="s">
        <v>71</v>
      </c>
      <c r="M466" s="9"/>
      <c r="N466" s="9">
        <f>ROUND((IF(G466="",Analysis!$B$2,G466)-F466)/365.25,1)</f>
        <v>7</v>
      </c>
      <c r="O466" s="9" t="str">
        <f>IF(G466="","",YEAR(G466))</f>
        <v/>
      </c>
      <c r="P466" s="9" t="str">
        <f>IF(E466&lt;30,"&lt;30",IF(E466&lt;40,"30-39","40+"))</f>
        <v>40+</v>
      </c>
    </row>
    <row r="467" spans="1:16" x14ac:dyDescent="0.25">
      <c r="A467" s="9" t="s">
        <v>360</v>
      </c>
      <c r="B467" s="9" t="s">
        <v>57</v>
      </c>
      <c r="C467" s="9" t="s">
        <v>139</v>
      </c>
      <c r="D467" s="9" t="s">
        <v>193</v>
      </c>
      <c r="E467" s="9">
        <v>29</v>
      </c>
      <c r="F467" s="20">
        <v>43677</v>
      </c>
      <c r="G467" s="20"/>
      <c r="H467" s="9" t="s">
        <v>51</v>
      </c>
      <c r="I467" s="21">
        <v>74800</v>
      </c>
      <c r="J467" s="9">
        <v>4</v>
      </c>
      <c r="K467" s="9">
        <v>2</v>
      </c>
      <c r="L467" s="9" t="s">
        <v>71</v>
      </c>
      <c r="M467" s="9"/>
      <c r="N467" s="9">
        <f>ROUND((IF(G467="",Analysis!$B$2,G467)-F467)/365.25,1)</f>
        <v>7.2</v>
      </c>
      <c r="O467" s="9" t="str">
        <f>IF(G467="","",YEAR(G467))</f>
        <v/>
      </c>
      <c r="P467" s="9" t="str">
        <f>IF(E467&lt;30,"&lt;30",IF(E467&lt;40,"30-39","40+"))</f>
        <v>&lt;30</v>
      </c>
    </row>
    <row r="468" spans="1:16" x14ac:dyDescent="0.25">
      <c r="A468" s="9" t="s">
        <v>336</v>
      </c>
      <c r="B468" s="9" t="s">
        <v>57</v>
      </c>
      <c r="C468" s="9" t="s">
        <v>139</v>
      </c>
      <c r="D468" s="9" t="s">
        <v>102</v>
      </c>
      <c r="E468" s="9">
        <v>44</v>
      </c>
      <c r="F468" s="20">
        <v>45762</v>
      </c>
      <c r="G468" s="20">
        <v>46219</v>
      </c>
      <c r="H468" s="9" t="s">
        <v>103</v>
      </c>
      <c r="I468" s="21">
        <v>75200</v>
      </c>
      <c r="J468" s="9">
        <v>4</v>
      </c>
      <c r="K468" s="9">
        <v>3</v>
      </c>
      <c r="L468" s="9" t="s">
        <v>70</v>
      </c>
      <c r="M468" s="9" t="s">
        <v>85</v>
      </c>
      <c r="N468" s="9">
        <f>ROUND((IF(G468="",Analysis!$B$2,G468)-F468)/365.25,1)</f>
        <v>1.3</v>
      </c>
      <c r="O468" s="9">
        <f>IF(G468="","",YEAR(G468))</f>
        <v>2026</v>
      </c>
      <c r="P468" s="9" t="str">
        <f>IF(E468&lt;30,"&lt;30",IF(E468&lt;40,"30-39","40+"))</f>
        <v>40+</v>
      </c>
    </row>
    <row r="469" spans="1:16" x14ac:dyDescent="0.25">
      <c r="A469" s="9" t="s">
        <v>210</v>
      </c>
      <c r="B469" s="9" t="s">
        <v>59</v>
      </c>
      <c r="C469" s="9" t="s">
        <v>137</v>
      </c>
      <c r="D469" s="9" t="s">
        <v>102</v>
      </c>
      <c r="E469" s="9">
        <v>28</v>
      </c>
      <c r="F469" s="20">
        <v>44764</v>
      </c>
      <c r="G469" s="20"/>
      <c r="H469" s="9" t="s">
        <v>51</v>
      </c>
      <c r="I469" s="21">
        <v>75500</v>
      </c>
      <c r="J469" s="9">
        <v>4</v>
      </c>
      <c r="K469" s="9">
        <v>2</v>
      </c>
      <c r="L469" s="9" t="s">
        <v>71</v>
      </c>
      <c r="M469" s="9"/>
      <c r="N469" s="9">
        <f>ROUND((IF(G469="",Analysis!$B$2,G469)-F469)/365.25,1)</f>
        <v>4.3</v>
      </c>
      <c r="O469" s="9" t="str">
        <f>IF(G469="","",YEAR(G469))</f>
        <v/>
      </c>
      <c r="P469" s="9" t="str">
        <f>IF(E469&lt;30,"&lt;30",IF(E469&lt;40,"30-39","40+"))</f>
        <v>&lt;30</v>
      </c>
    </row>
    <row r="470" spans="1:16" x14ac:dyDescent="0.25">
      <c r="A470" s="9" t="s">
        <v>177</v>
      </c>
      <c r="B470" s="9" t="s">
        <v>61</v>
      </c>
      <c r="C470" s="9" t="s">
        <v>178</v>
      </c>
      <c r="D470" s="9" t="s">
        <v>102</v>
      </c>
      <c r="E470" s="9">
        <v>32</v>
      </c>
      <c r="F470" s="20">
        <v>44566</v>
      </c>
      <c r="G470" s="20"/>
      <c r="H470" s="9" t="s">
        <v>51</v>
      </c>
      <c r="I470" s="21">
        <v>77000</v>
      </c>
      <c r="J470" s="9">
        <v>4</v>
      </c>
      <c r="K470" s="9">
        <v>2</v>
      </c>
      <c r="L470" s="9" t="s">
        <v>71</v>
      </c>
      <c r="M470" s="9"/>
      <c r="N470" s="9">
        <f>ROUND((IF(G470="",Analysis!$B$2,G470)-F470)/365.25,1)</f>
        <v>4.8</v>
      </c>
      <c r="O470" s="9" t="str">
        <f>IF(G470="","",YEAR(G470))</f>
        <v/>
      </c>
      <c r="P470" s="9" t="str">
        <f>IF(E470&lt;30,"&lt;30",IF(E470&lt;40,"30-39","40+"))</f>
        <v>30-39</v>
      </c>
    </row>
    <row r="471" spans="1:16" x14ac:dyDescent="0.25">
      <c r="A471" s="9" t="s">
        <v>328</v>
      </c>
      <c r="B471" s="9" t="s">
        <v>60</v>
      </c>
      <c r="C471" s="9" t="s">
        <v>145</v>
      </c>
      <c r="D471" s="9" t="s">
        <v>110</v>
      </c>
      <c r="E471" s="9">
        <v>48</v>
      </c>
      <c r="F471" s="20">
        <v>45203</v>
      </c>
      <c r="G471" s="20"/>
      <c r="H471" s="9" t="s">
        <v>51</v>
      </c>
      <c r="I471" s="21">
        <v>77400</v>
      </c>
      <c r="J471" s="9">
        <v>4</v>
      </c>
      <c r="K471" s="9">
        <v>4</v>
      </c>
      <c r="L471" s="9" t="s">
        <v>70</v>
      </c>
      <c r="M471" s="9"/>
      <c r="N471" s="9">
        <f>ROUND((IF(G471="",Analysis!$B$2,G471)-F471)/365.25,1)</f>
        <v>3.1</v>
      </c>
      <c r="O471" s="9" t="str">
        <f>IF(G471="","",YEAR(G471))</f>
        <v/>
      </c>
      <c r="P471" s="9" t="str">
        <f>IF(E471&lt;30,"&lt;30",IF(E471&lt;40,"30-39","40+"))</f>
        <v>40+</v>
      </c>
    </row>
    <row r="472" spans="1:16" x14ac:dyDescent="0.25">
      <c r="A472" s="9" t="s">
        <v>426</v>
      </c>
      <c r="B472" s="9" t="s">
        <v>60</v>
      </c>
      <c r="C472" s="9" t="s">
        <v>191</v>
      </c>
      <c r="D472" s="9" t="s">
        <v>110</v>
      </c>
      <c r="E472" s="9">
        <v>35</v>
      </c>
      <c r="F472" s="20">
        <v>45405</v>
      </c>
      <c r="G472" s="20"/>
      <c r="H472" s="9" t="s">
        <v>51</v>
      </c>
      <c r="I472" s="21">
        <v>78100</v>
      </c>
      <c r="J472" s="9">
        <v>4</v>
      </c>
      <c r="K472" s="9">
        <v>4</v>
      </c>
      <c r="L472" s="9" t="s">
        <v>71</v>
      </c>
      <c r="M472" s="9"/>
      <c r="N472" s="9">
        <f>ROUND((IF(G472="",Analysis!$B$2,G472)-F472)/365.25,1)</f>
        <v>2.5</v>
      </c>
      <c r="O472" s="9" t="str">
        <f>IF(G472="","",YEAR(G472))</f>
        <v/>
      </c>
      <c r="P472" s="9" t="str">
        <f>IF(E472&lt;30,"&lt;30",IF(E472&lt;40,"30-39","40+"))</f>
        <v>30-39</v>
      </c>
    </row>
    <row r="473" spans="1:16" x14ac:dyDescent="0.25">
      <c r="A473" s="9" t="s">
        <v>339</v>
      </c>
      <c r="B473" s="9" t="s">
        <v>60</v>
      </c>
      <c r="C473" s="9" t="s">
        <v>191</v>
      </c>
      <c r="D473" s="9" t="s">
        <v>110</v>
      </c>
      <c r="E473" s="9">
        <v>30</v>
      </c>
      <c r="F473" s="20">
        <v>43254</v>
      </c>
      <c r="G473" s="20"/>
      <c r="H473" s="9" t="s">
        <v>51</v>
      </c>
      <c r="I473" s="21">
        <v>78400</v>
      </c>
      <c r="J473" s="9">
        <v>4</v>
      </c>
      <c r="K473" s="9">
        <v>3</v>
      </c>
      <c r="L473" s="9" t="s">
        <v>70</v>
      </c>
      <c r="M473" s="9"/>
      <c r="N473" s="9">
        <f>ROUND((IF(G473="",Analysis!$B$2,G473)-F473)/365.25,1)</f>
        <v>8.4</v>
      </c>
      <c r="O473" s="9" t="str">
        <f>IF(G473="","",YEAR(G473))</f>
        <v/>
      </c>
      <c r="P473" s="9" t="str">
        <f>IF(E473&lt;30,"&lt;30",IF(E473&lt;40,"30-39","40+"))</f>
        <v>30-39</v>
      </c>
    </row>
    <row r="474" spans="1:16" x14ac:dyDescent="0.25">
      <c r="A474" s="9" t="s">
        <v>152</v>
      </c>
      <c r="B474" s="9" t="s">
        <v>62</v>
      </c>
      <c r="C474" s="9" t="s">
        <v>150</v>
      </c>
      <c r="D474" s="9" t="s">
        <v>110</v>
      </c>
      <c r="E474" s="9">
        <v>40</v>
      </c>
      <c r="F474" s="20">
        <v>43189</v>
      </c>
      <c r="G474" s="20"/>
      <c r="H474" s="9" t="s">
        <v>51</v>
      </c>
      <c r="I474" s="21">
        <v>79800</v>
      </c>
      <c r="J474" s="9">
        <v>4</v>
      </c>
      <c r="K474" s="9">
        <v>5</v>
      </c>
      <c r="L474" s="9" t="s">
        <v>71</v>
      </c>
      <c r="M474" s="9"/>
      <c r="N474" s="9">
        <f>ROUND((IF(G474="",Analysis!$B$2,G474)-F474)/365.25,1)</f>
        <v>8.6</v>
      </c>
      <c r="O474" s="9" t="str">
        <f>IF(G474="","",YEAR(G474))</f>
        <v/>
      </c>
      <c r="P474" s="9" t="str">
        <f>IF(E474&lt;30,"&lt;30",IF(E474&lt;40,"30-39","40+"))</f>
        <v>40+</v>
      </c>
    </row>
    <row r="475" spans="1:16" x14ac:dyDescent="0.25">
      <c r="A475" s="9" t="s">
        <v>156</v>
      </c>
      <c r="B475" s="9" t="s">
        <v>59</v>
      </c>
      <c r="C475" s="9" t="s">
        <v>137</v>
      </c>
      <c r="D475" s="9" t="s">
        <v>110</v>
      </c>
      <c r="E475" s="9">
        <v>50</v>
      </c>
      <c r="F475" s="20">
        <v>46051</v>
      </c>
      <c r="G475" s="20">
        <v>46312</v>
      </c>
      <c r="H475" s="9" t="s">
        <v>103</v>
      </c>
      <c r="I475" s="21">
        <v>80100</v>
      </c>
      <c r="J475" s="9">
        <v>4</v>
      </c>
      <c r="K475" s="9">
        <v>2</v>
      </c>
      <c r="L475" s="9" t="s">
        <v>71</v>
      </c>
      <c r="M475" s="9" t="s">
        <v>79</v>
      </c>
      <c r="N475" s="9">
        <f>ROUND((IF(G475="",Analysis!$B$2,G475)-F475)/365.25,1)</f>
        <v>0.7</v>
      </c>
      <c r="O475" s="9">
        <f>IF(G475="","",YEAR(G475))</f>
        <v>2026</v>
      </c>
      <c r="P475" s="9" t="str">
        <f>IF(E475&lt;30,"&lt;30",IF(E475&lt;40,"30-39","40+"))</f>
        <v>40+</v>
      </c>
    </row>
    <row r="476" spans="1:16" x14ac:dyDescent="0.25">
      <c r="A476" s="9" t="s">
        <v>510</v>
      </c>
      <c r="B476" s="9" t="s">
        <v>59</v>
      </c>
      <c r="C476" s="9" t="s">
        <v>137</v>
      </c>
      <c r="D476" s="9" t="s">
        <v>102</v>
      </c>
      <c r="E476" s="9">
        <v>43</v>
      </c>
      <c r="F476" s="20">
        <v>44407</v>
      </c>
      <c r="G476" s="20"/>
      <c r="H476" s="9" t="s">
        <v>51</v>
      </c>
      <c r="I476" s="21">
        <v>80300</v>
      </c>
      <c r="J476" s="9">
        <v>4</v>
      </c>
      <c r="K476" s="9">
        <v>1</v>
      </c>
      <c r="L476" s="9" t="s">
        <v>70</v>
      </c>
      <c r="M476" s="9"/>
      <c r="N476" s="9">
        <f>ROUND((IF(G476="",Analysis!$B$2,G476)-F476)/365.25,1)</f>
        <v>5.2</v>
      </c>
      <c r="O476" s="9" t="str">
        <f>IF(G476="","",YEAR(G476))</f>
        <v/>
      </c>
      <c r="P476" s="9" t="str">
        <f>IF(E476&lt;30,"&lt;30",IF(E476&lt;40,"30-39","40+"))</f>
        <v>40+</v>
      </c>
    </row>
    <row r="477" spans="1:16" x14ac:dyDescent="0.25">
      <c r="A477" s="9" t="s">
        <v>537</v>
      </c>
      <c r="B477" s="9" t="s">
        <v>62</v>
      </c>
      <c r="C477" s="9" t="s">
        <v>150</v>
      </c>
      <c r="D477" s="9" t="s">
        <v>110</v>
      </c>
      <c r="E477" s="9">
        <v>24</v>
      </c>
      <c r="F477" s="20">
        <v>43592</v>
      </c>
      <c r="G477" s="20"/>
      <c r="H477" s="9" t="s">
        <v>51</v>
      </c>
      <c r="I477" s="21">
        <v>80600</v>
      </c>
      <c r="J477" s="9">
        <v>4</v>
      </c>
      <c r="K477" s="9">
        <v>4</v>
      </c>
      <c r="L477" s="9" t="s">
        <v>71</v>
      </c>
      <c r="M477" s="9"/>
      <c r="N477" s="9">
        <f>ROUND((IF(G477="",Analysis!$B$2,G477)-F477)/365.25,1)</f>
        <v>7.5</v>
      </c>
      <c r="O477" s="9" t="str">
        <f>IF(G477="","",YEAR(G477))</f>
        <v/>
      </c>
      <c r="P477" s="9" t="str">
        <f>IF(E477&lt;30,"&lt;30",IF(E477&lt;40,"30-39","40+"))</f>
        <v>&lt;30</v>
      </c>
    </row>
    <row r="478" spans="1:16" x14ac:dyDescent="0.25">
      <c r="A478" s="9" t="s">
        <v>313</v>
      </c>
      <c r="B478" s="9" t="s">
        <v>61</v>
      </c>
      <c r="C478" s="9" t="s">
        <v>178</v>
      </c>
      <c r="D478" s="9" t="s">
        <v>102</v>
      </c>
      <c r="E478" s="9">
        <v>28</v>
      </c>
      <c r="F478" s="20">
        <v>45035</v>
      </c>
      <c r="G478" s="20"/>
      <c r="H478" s="9" t="s">
        <v>51</v>
      </c>
      <c r="I478" s="21">
        <v>81100</v>
      </c>
      <c r="J478" s="9">
        <v>4</v>
      </c>
      <c r="K478" s="9">
        <v>3</v>
      </c>
      <c r="L478" s="9" t="s">
        <v>71</v>
      </c>
      <c r="M478" s="9"/>
      <c r="N478" s="9">
        <f>ROUND((IF(G478="",Analysis!$B$2,G478)-F478)/365.25,1)</f>
        <v>3.5</v>
      </c>
      <c r="O478" s="9" t="str">
        <f>IF(G478="","",YEAR(G478))</f>
        <v/>
      </c>
      <c r="P478" s="9" t="str">
        <f>IF(E478&lt;30,"&lt;30",IF(E478&lt;40,"30-39","40+"))</f>
        <v>&lt;30</v>
      </c>
    </row>
    <row r="479" spans="1:16" x14ac:dyDescent="0.25">
      <c r="A479" s="9" t="s">
        <v>217</v>
      </c>
      <c r="B479" s="9" t="s">
        <v>57</v>
      </c>
      <c r="C479" s="9" t="s">
        <v>139</v>
      </c>
      <c r="D479" s="9" t="s">
        <v>102</v>
      </c>
      <c r="E479" s="9">
        <v>21</v>
      </c>
      <c r="F479" s="20">
        <v>44617</v>
      </c>
      <c r="G479" s="20"/>
      <c r="H479" s="9" t="s">
        <v>51</v>
      </c>
      <c r="I479" s="21">
        <v>82400</v>
      </c>
      <c r="J479" s="9">
        <v>4</v>
      </c>
      <c r="K479" s="9">
        <v>4</v>
      </c>
      <c r="L479" s="9" t="s">
        <v>71</v>
      </c>
      <c r="M479" s="9"/>
      <c r="N479" s="9">
        <f>ROUND((IF(G479="",Analysis!$B$2,G479)-F479)/365.25,1)</f>
        <v>4.7</v>
      </c>
      <c r="O479" s="9" t="str">
        <f>IF(G479="","",YEAR(G479))</f>
        <v/>
      </c>
      <c r="P479" s="9" t="str">
        <f>IF(E479&lt;30,"&lt;30",IF(E479&lt;40,"30-39","40+"))</f>
        <v>&lt;30</v>
      </c>
    </row>
    <row r="480" spans="1:16" x14ac:dyDescent="0.25">
      <c r="A480" s="9" t="s">
        <v>318</v>
      </c>
      <c r="B480" s="9" t="s">
        <v>57</v>
      </c>
      <c r="C480" s="9" t="s">
        <v>139</v>
      </c>
      <c r="D480" s="9" t="s">
        <v>102</v>
      </c>
      <c r="E480" s="9">
        <v>34</v>
      </c>
      <c r="F480" s="20">
        <v>45194</v>
      </c>
      <c r="G480" s="20"/>
      <c r="H480" s="9" t="s">
        <v>51</v>
      </c>
      <c r="I480" s="21">
        <v>82800</v>
      </c>
      <c r="J480" s="9">
        <v>4</v>
      </c>
      <c r="K480" s="9">
        <v>5</v>
      </c>
      <c r="L480" s="9" t="s">
        <v>71</v>
      </c>
      <c r="M480" s="9"/>
      <c r="N480" s="9">
        <f>ROUND((IF(G480="",Analysis!$B$2,G480)-F480)/365.25,1)</f>
        <v>3.1</v>
      </c>
      <c r="O480" s="9" t="str">
        <f>IF(G480="","",YEAR(G480))</f>
        <v/>
      </c>
      <c r="P480" s="9" t="str">
        <f>IF(E480&lt;30,"&lt;30",IF(E480&lt;40,"30-39","40+"))</f>
        <v>30-39</v>
      </c>
    </row>
    <row r="481" spans="1:16" x14ac:dyDescent="0.25">
      <c r="A481" s="9" t="s">
        <v>138</v>
      </c>
      <c r="B481" s="9" t="s">
        <v>57</v>
      </c>
      <c r="C481" s="9" t="s">
        <v>139</v>
      </c>
      <c r="D481" s="9" t="s">
        <v>110</v>
      </c>
      <c r="E481" s="9">
        <v>26</v>
      </c>
      <c r="F481" s="20">
        <v>45708</v>
      </c>
      <c r="G481" s="20">
        <v>45897</v>
      </c>
      <c r="H481" s="9" t="s">
        <v>103</v>
      </c>
      <c r="I481" s="21">
        <v>83300</v>
      </c>
      <c r="J481" s="9">
        <v>4</v>
      </c>
      <c r="K481" s="9">
        <v>3</v>
      </c>
      <c r="L481" s="9" t="s">
        <v>70</v>
      </c>
      <c r="M481" s="9" t="s">
        <v>84</v>
      </c>
      <c r="N481" s="9">
        <f>ROUND((IF(G481="",Analysis!$B$2,G481)-F481)/365.25,1)</f>
        <v>0.5</v>
      </c>
      <c r="O481" s="9">
        <f>IF(G481="","",YEAR(G481))</f>
        <v>2025</v>
      </c>
      <c r="P481" s="9" t="str">
        <f>IF(E481&lt;30,"&lt;30",IF(E481&lt;40,"30-39","40+"))</f>
        <v>&lt;30</v>
      </c>
    </row>
    <row r="482" spans="1:16" x14ac:dyDescent="0.25">
      <c r="A482" s="9" t="s">
        <v>473</v>
      </c>
      <c r="B482" s="9" t="s">
        <v>57</v>
      </c>
      <c r="C482" s="9" t="s">
        <v>139</v>
      </c>
      <c r="D482" s="9" t="s">
        <v>110</v>
      </c>
      <c r="E482" s="9">
        <v>26</v>
      </c>
      <c r="F482" s="20">
        <v>43507</v>
      </c>
      <c r="G482" s="20">
        <v>45446</v>
      </c>
      <c r="H482" s="9" t="s">
        <v>103</v>
      </c>
      <c r="I482" s="21">
        <v>84300</v>
      </c>
      <c r="J482" s="9">
        <v>4</v>
      </c>
      <c r="K482" s="9">
        <v>2</v>
      </c>
      <c r="L482" s="9" t="s">
        <v>71</v>
      </c>
      <c r="M482" s="9" t="s">
        <v>79</v>
      </c>
      <c r="N482" s="9">
        <f>ROUND((IF(G482="",Analysis!$B$2,G482)-F482)/365.25,1)</f>
        <v>5.3</v>
      </c>
      <c r="O482" s="9">
        <f>IF(G482="","",YEAR(G482))</f>
        <v>2024</v>
      </c>
      <c r="P482" s="9" t="str">
        <f>IF(E482&lt;30,"&lt;30",IF(E482&lt;40,"30-39","40+"))</f>
        <v>&lt;30</v>
      </c>
    </row>
    <row r="483" spans="1:16" x14ac:dyDescent="0.25">
      <c r="A483" s="9" t="s">
        <v>144</v>
      </c>
      <c r="B483" s="9" t="s">
        <v>60</v>
      </c>
      <c r="C483" s="9" t="s">
        <v>145</v>
      </c>
      <c r="D483" s="9" t="s">
        <v>102</v>
      </c>
      <c r="E483" s="9">
        <v>37</v>
      </c>
      <c r="F483" s="20">
        <v>43872</v>
      </c>
      <c r="G483" s="20"/>
      <c r="H483" s="9" t="s">
        <v>51</v>
      </c>
      <c r="I483" s="21">
        <v>84300</v>
      </c>
      <c r="J483" s="9">
        <v>4</v>
      </c>
      <c r="K483" s="9">
        <v>4</v>
      </c>
      <c r="L483" s="9" t="s">
        <v>70</v>
      </c>
      <c r="M483" s="9"/>
      <c r="N483" s="9">
        <f>ROUND((IF(G483="",Analysis!$B$2,G483)-F483)/365.25,1)</f>
        <v>6.7</v>
      </c>
      <c r="O483" s="9" t="str">
        <f>IF(G483="","",YEAR(G483))</f>
        <v/>
      </c>
      <c r="P483" s="9" t="str">
        <f>IF(E483&lt;30,"&lt;30",IF(E483&lt;40,"30-39","40+"))</f>
        <v>30-39</v>
      </c>
    </row>
    <row r="484" spans="1:16" x14ac:dyDescent="0.25">
      <c r="A484" s="9" t="s">
        <v>311</v>
      </c>
      <c r="B484" s="9" t="s">
        <v>63</v>
      </c>
      <c r="C484" s="9" t="s">
        <v>181</v>
      </c>
      <c r="D484" s="9" t="s">
        <v>102</v>
      </c>
      <c r="E484" s="9">
        <v>34</v>
      </c>
      <c r="F484" s="20">
        <v>44995</v>
      </c>
      <c r="G484" s="20"/>
      <c r="H484" s="9" t="s">
        <v>51</v>
      </c>
      <c r="I484" s="21">
        <v>84400</v>
      </c>
      <c r="J484" s="9">
        <v>4</v>
      </c>
      <c r="K484" s="9">
        <v>3</v>
      </c>
      <c r="L484" s="9" t="s">
        <v>71</v>
      </c>
      <c r="M484" s="9"/>
      <c r="N484" s="9">
        <f>ROUND((IF(G484="",Analysis!$B$2,G484)-F484)/365.25,1)</f>
        <v>3.6</v>
      </c>
      <c r="O484" s="9" t="str">
        <f>IF(G484="","",YEAR(G484))</f>
        <v/>
      </c>
      <c r="P484" s="9" t="str">
        <f>IF(E484&lt;30,"&lt;30",IF(E484&lt;40,"30-39","40+"))</f>
        <v>30-39</v>
      </c>
    </row>
    <row r="485" spans="1:16" x14ac:dyDescent="0.25">
      <c r="A485" s="9" t="s">
        <v>541</v>
      </c>
      <c r="B485" s="9" t="s">
        <v>59</v>
      </c>
      <c r="C485" s="9" t="s">
        <v>107</v>
      </c>
      <c r="D485" s="9" t="s">
        <v>110</v>
      </c>
      <c r="E485" s="9">
        <v>30</v>
      </c>
      <c r="F485" s="20">
        <v>44236</v>
      </c>
      <c r="G485" s="20"/>
      <c r="H485" s="9" t="s">
        <v>51</v>
      </c>
      <c r="I485" s="21">
        <v>85200</v>
      </c>
      <c r="J485" s="9">
        <v>4</v>
      </c>
      <c r="K485" s="9">
        <v>2</v>
      </c>
      <c r="L485" s="9" t="s">
        <v>71</v>
      </c>
      <c r="M485" s="9"/>
      <c r="N485" s="9">
        <f>ROUND((IF(G485="",Analysis!$B$2,G485)-F485)/365.25,1)</f>
        <v>5.7</v>
      </c>
      <c r="O485" s="9" t="str">
        <f>IF(G485="","",YEAR(G485))</f>
        <v/>
      </c>
      <c r="P485" s="9" t="str">
        <f>IF(E485&lt;30,"&lt;30",IF(E485&lt;40,"30-39","40+"))</f>
        <v>30-39</v>
      </c>
    </row>
    <row r="486" spans="1:16" x14ac:dyDescent="0.25">
      <c r="A486" s="9" t="s">
        <v>519</v>
      </c>
      <c r="B486" s="9" t="s">
        <v>59</v>
      </c>
      <c r="C486" s="9" t="s">
        <v>107</v>
      </c>
      <c r="D486" s="9" t="s">
        <v>110</v>
      </c>
      <c r="E486" s="9">
        <v>34</v>
      </c>
      <c r="F486" s="20">
        <v>46230</v>
      </c>
      <c r="G486" s="20"/>
      <c r="H486" s="9" t="s">
        <v>51</v>
      </c>
      <c r="I486" s="21">
        <v>86100</v>
      </c>
      <c r="J486" s="9">
        <v>4</v>
      </c>
      <c r="K486" s="9">
        <v>2</v>
      </c>
      <c r="L486" s="9" t="s">
        <v>71</v>
      </c>
      <c r="M486" s="9"/>
      <c r="N486" s="9">
        <f>ROUND((IF(G486="",Analysis!$B$2,G486)-F486)/365.25,1)</f>
        <v>0.3</v>
      </c>
      <c r="O486" s="9" t="str">
        <f>IF(G486="","",YEAR(G486))</f>
        <v/>
      </c>
      <c r="P486" s="9" t="str">
        <f>IF(E486&lt;30,"&lt;30",IF(E486&lt;40,"30-39","40+"))</f>
        <v>30-39</v>
      </c>
    </row>
    <row r="487" spans="1:16" x14ac:dyDescent="0.25">
      <c r="A487" s="9" t="s">
        <v>135</v>
      </c>
      <c r="B487" s="9" t="s">
        <v>61</v>
      </c>
      <c r="C487" s="9" t="s">
        <v>114</v>
      </c>
      <c r="D487" s="9" t="s">
        <v>110</v>
      </c>
      <c r="E487" s="9">
        <v>39</v>
      </c>
      <c r="F487" s="20">
        <v>45844</v>
      </c>
      <c r="G487" s="20"/>
      <c r="H487" s="9" t="s">
        <v>51</v>
      </c>
      <c r="I487" s="21">
        <v>87100</v>
      </c>
      <c r="J487" s="9">
        <v>4</v>
      </c>
      <c r="K487" s="9">
        <v>3</v>
      </c>
      <c r="L487" s="9" t="s">
        <v>71</v>
      </c>
      <c r="M487" s="9"/>
      <c r="N487" s="9">
        <f>ROUND((IF(G487="",Analysis!$B$2,G487)-F487)/365.25,1)</f>
        <v>1.3</v>
      </c>
      <c r="O487" s="9" t="str">
        <f>IF(G487="","",YEAR(G487))</f>
        <v/>
      </c>
      <c r="P487" s="9" t="str">
        <f>IF(E487&lt;30,"&lt;30",IF(E487&lt;40,"30-39","40+"))</f>
        <v>30-39</v>
      </c>
    </row>
    <row r="488" spans="1:16" x14ac:dyDescent="0.25">
      <c r="A488" s="9" t="s">
        <v>372</v>
      </c>
      <c r="B488" s="9" t="s">
        <v>59</v>
      </c>
      <c r="C488" s="9" t="s">
        <v>107</v>
      </c>
      <c r="D488" s="9" t="s">
        <v>110</v>
      </c>
      <c r="E488" s="9">
        <v>21</v>
      </c>
      <c r="F488" s="20">
        <v>43233</v>
      </c>
      <c r="G488" s="20"/>
      <c r="H488" s="9" t="s">
        <v>51</v>
      </c>
      <c r="I488" s="21">
        <v>87300</v>
      </c>
      <c r="J488" s="9">
        <v>4</v>
      </c>
      <c r="K488" s="9">
        <v>3</v>
      </c>
      <c r="L488" s="9" t="s">
        <v>71</v>
      </c>
      <c r="M488" s="9"/>
      <c r="N488" s="9">
        <f>ROUND((IF(G488="",Analysis!$B$2,G488)-F488)/365.25,1)</f>
        <v>8.5</v>
      </c>
      <c r="O488" s="9" t="str">
        <f>IF(G488="","",YEAR(G488))</f>
        <v/>
      </c>
      <c r="P488" s="9" t="str">
        <f>IF(E488&lt;30,"&lt;30",IF(E488&lt;40,"30-39","40+"))</f>
        <v>&lt;30</v>
      </c>
    </row>
    <row r="489" spans="1:16" x14ac:dyDescent="0.25">
      <c r="A489" s="9" t="s">
        <v>442</v>
      </c>
      <c r="B489" s="9" t="s">
        <v>61</v>
      </c>
      <c r="C489" s="9" t="s">
        <v>178</v>
      </c>
      <c r="D489" s="9" t="s">
        <v>102</v>
      </c>
      <c r="E489" s="9">
        <v>43</v>
      </c>
      <c r="F489" s="20">
        <v>45814</v>
      </c>
      <c r="G489" s="20"/>
      <c r="H489" s="9" t="s">
        <v>51</v>
      </c>
      <c r="I489" s="21">
        <v>89300</v>
      </c>
      <c r="J489" s="9">
        <v>4</v>
      </c>
      <c r="K489" s="9">
        <v>4</v>
      </c>
      <c r="L489" s="9" t="s">
        <v>71</v>
      </c>
      <c r="M489" s="9"/>
      <c r="N489" s="9">
        <f>ROUND((IF(G489="",Analysis!$B$2,G489)-F489)/365.25,1)</f>
        <v>1.4</v>
      </c>
      <c r="O489" s="9" t="str">
        <f>IF(G489="","",YEAR(G489))</f>
        <v/>
      </c>
      <c r="P489" s="9" t="str">
        <f>IF(E489&lt;30,"&lt;30",IF(E489&lt;40,"30-39","40+"))</f>
        <v>40+</v>
      </c>
    </row>
    <row r="490" spans="1:16" x14ac:dyDescent="0.25">
      <c r="A490" s="9" t="s">
        <v>486</v>
      </c>
      <c r="B490" s="9" t="s">
        <v>61</v>
      </c>
      <c r="C490" s="9" t="s">
        <v>178</v>
      </c>
      <c r="D490" s="9" t="s">
        <v>102</v>
      </c>
      <c r="E490" s="9">
        <v>28</v>
      </c>
      <c r="F490" s="20">
        <v>43666</v>
      </c>
      <c r="G490" s="20"/>
      <c r="H490" s="9" t="s">
        <v>51</v>
      </c>
      <c r="I490" s="21">
        <v>89700</v>
      </c>
      <c r="J490" s="9">
        <v>4</v>
      </c>
      <c r="K490" s="9">
        <v>4</v>
      </c>
      <c r="L490" s="9" t="s">
        <v>71</v>
      </c>
      <c r="M490" s="9"/>
      <c r="N490" s="9">
        <f>ROUND((IF(G490="",Analysis!$B$2,G490)-F490)/365.25,1)</f>
        <v>7.3</v>
      </c>
      <c r="O490" s="9" t="str">
        <f>IF(G490="","",YEAR(G490))</f>
        <v/>
      </c>
      <c r="P490" s="9" t="str">
        <f>IF(E490&lt;30,"&lt;30",IF(E490&lt;40,"30-39","40+"))</f>
        <v>&lt;30</v>
      </c>
    </row>
    <row r="491" spans="1:16" x14ac:dyDescent="0.25">
      <c r="A491" s="9" t="s">
        <v>106</v>
      </c>
      <c r="B491" s="9" t="s">
        <v>59</v>
      </c>
      <c r="C491" s="9" t="s">
        <v>107</v>
      </c>
      <c r="D491" s="9" t="s">
        <v>102</v>
      </c>
      <c r="E491" s="9">
        <v>21</v>
      </c>
      <c r="F491" s="20">
        <v>44926</v>
      </c>
      <c r="G491" s="20">
        <v>45230</v>
      </c>
      <c r="H491" s="9" t="s">
        <v>103</v>
      </c>
      <c r="I491" s="21">
        <v>91700</v>
      </c>
      <c r="J491" s="9">
        <v>4</v>
      </c>
      <c r="K491" s="9">
        <v>3</v>
      </c>
      <c r="L491" s="9" t="s">
        <v>71</v>
      </c>
      <c r="M491" s="9" t="s">
        <v>81</v>
      </c>
      <c r="N491" s="9">
        <f>ROUND((IF(G491="",Analysis!$B$2,G491)-F491)/365.25,1)</f>
        <v>0.8</v>
      </c>
      <c r="O491" s="9">
        <f>IF(G491="","",YEAR(G491))</f>
        <v>2023</v>
      </c>
      <c r="P491" s="9" t="str">
        <f>IF(E491&lt;30,"&lt;30",IF(E491&lt;40,"30-39","40+"))</f>
        <v>&lt;30</v>
      </c>
    </row>
    <row r="492" spans="1:16" x14ac:dyDescent="0.25">
      <c r="A492" s="9" t="s">
        <v>423</v>
      </c>
      <c r="B492" s="9" t="s">
        <v>59</v>
      </c>
      <c r="C492" s="9" t="s">
        <v>107</v>
      </c>
      <c r="D492" s="9" t="s">
        <v>110</v>
      </c>
      <c r="E492" s="9">
        <v>31</v>
      </c>
      <c r="F492" s="20">
        <v>44169</v>
      </c>
      <c r="G492" s="20"/>
      <c r="H492" s="9" t="s">
        <v>51</v>
      </c>
      <c r="I492" s="21">
        <v>92900</v>
      </c>
      <c r="J492" s="9">
        <v>4</v>
      </c>
      <c r="K492" s="9">
        <v>4</v>
      </c>
      <c r="L492" s="9" t="s">
        <v>71</v>
      </c>
      <c r="M492" s="9"/>
      <c r="N492" s="9">
        <f>ROUND((IF(G492="",Analysis!$B$2,G492)-F492)/365.25,1)</f>
        <v>5.9</v>
      </c>
      <c r="O492" s="9" t="str">
        <f>IF(G492="","",YEAR(G492))</f>
        <v/>
      </c>
      <c r="P492" s="9" t="str">
        <f>IF(E492&lt;30,"&lt;30",IF(E492&lt;40,"30-39","40+"))</f>
        <v>30-39</v>
      </c>
    </row>
    <row r="493" spans="1:16" x14ac:dyDescent="0.25">
      <c r="A493" s="9" t="s">
        <v>117</v>
      </c>
      <c r="B493" s="9" t="s">
        <v>61</v>
      </c>
      <c r="C493" s="9" t="s">
        <v>114</v>
      </c>
      <c r="D493" s="9" t="s">
        <v>110</v>
      </c>
      <c r="E493" s="9">
        <v>35</v>
      </c>
      <c r="F493" s="20">
        <v>45286</v>
      </c>
      <c r="G493" s="20"/>
      <c r="H493" s="9" t="s">
        <v>51</v>
      </c>
      <c r="I493" s="21">
        <v>94000</v>
      </c>
      <c r="J493" s="9">
        <v>4</v>
      </c>
      <c r="K493" s="9">
        <v>4</v>
      </c>
      <c r="L493" s="9" t="s">
        <v>70</v>
      </c>
      <c r="M493" s="9"/>
      <c r="N493" s="9">
        <f>ROUND((IF(G493="",Analysis!$B$2,G493)-F493)/365.25,1)</f>
        <v>2.8</v>
      </c>
      <c r="O493" s="9" t="str">
        <f>IF(G493="","",YEAR(G493))</f>
        <v/>
      </c>
      <c r="P493" s="9" t="str">
        <f>IF(E493&lt;30,"&lt;30",IF(E493&lt;40,"30-39","40+"))</f>
        <v>30-39</v>
      </c>
    </row>
    <row r="494" spans="1:16" x14ac:dyDescent="0.25">
      <c r="A494" s="9" t="s">
        <v>399</v>
      </c>
      <c r="B494" s="9" t="s">
        <v>59</v>
      </c>
      <c r="C494" s="9" t="s">
        <v>107</v>
      </c>
      <c r="D494" s="9" t="s">
        <v>102</v>
      </c>
      <c r="E494" s="9">
        <v>32</v>
      </c>
      <c r="F494" s="20">
        <v>44473</v>
      </c>
      <c r="G494" s="20"/>
      <c r="H494" s="9" t="s">
        <v>51</v>
      </c>
      <c r="I494" s="21">
        <v>94200</v>
      </c>
      <c r="J494" s="9">
        <v>4</v>
      </c>
      <c r="K494" s="9">
        <v>4</v>
      </c>
      <c r="L494" s="9" t="s">
        <v>70</v>
      </c>
      <c r="M494" s="9"/>
      <c r="N494" s="9">
        <f>ROUND((IF(G494="",Analysis!$B$2,G494)-F494)/365.25,1)</f>
        <v>5.0999999999999996</v>
      </c>
      <c r="O494" s="9" t="str">
        <f>IF(G494="","",YEAR(G494))</f>
        <v/>
      </c>
      <c r="P494" s="9" t="str">
        <f>IF(E494&lt;30,"&lt;30",IF(E494&lt;40,"30-39","40+"))</f>
        <v>30-39</v>
      </c>
    </row>
    <row r="495" spans="1:16" x14ac:dyDescent="0.25">
      <c r="A495" s="9" t="s">
        <v>525</v>
      </c>
      <c r="B495" s="9" t="s">
        <v>59</v>
      </c>
      <c r="C495" s="9" t="s">
        <v>107</v>
      </c>
      <c r="D495" s="9" t="s">
        <v>110</v>
      </c>
      <c r="E495" s="9">
        <v>26</v>
      </c>
      <c r="F495" s="20">
        <v>45929</v>
      </c>
      <c r="G495" s="20"/>
      <c r="H495" s="9" t="s">
        <v>51</v>
      </c>
      <c r="I495" s="21">
        <v>97400</v>
      </c>
      <c r="J495" s="9">
        <v>4</v>
      </c>
      <c r="K495" s="9">
        <v>5</v>
      </c>
      <c r="L495" s="9" t="s">
        <v>70</v>
      </c>
      <c r="M495" s="9"/>
      <c r="N495" s="9">
        <f>ROUND((IF(G495="",Analysis!$B$2,G495)-F495)/365.25,1)</f>
        <v>1.1000000000000001</v>
      </c>
      <c r="O495" s="9" t="str">
        <f>IF(G495="","",YEAR(G495))</f>
        <v/>
      </c>
      <c r="P495" s="9" t="str">
        <f>IF(E495&lt;30,"&lt;30",IF(E495&lt;40,"30-39","40+"))</f>
        <v>&lt;30</v>
      </c>
    </row>
    <row r="496" spans="1:16" x14ac:dyDescent="0.25">
      <c r="A496" s="9" t="s">
        <v>203</v>
      </c>
      <c r="B496" s="9" t="s">
        <v>59</v>
      </c>
      <c r="C496" s="9" t="s">
        <v>107</v>
      </c>
      <c r="D496" s="9" t="s">
        <v>110</v>
      </c>
      <c r="E496" s="9">
        <v>36</v>
      </c>
      <c r="F496" s="20">
        <v>45455</v>
      </c>
      <c r="G496" s="20"/>
      <c r="H496" s="9" t="s">
        <v>51</v>
      </c>
      <c r="I496" s="21">
        <v>98700</v>
      </c>
      <c r="J496" s="9">
        <v>4</v>
      </c>
      <c r="K496" s="9">
        <v>2</v>
      </c>
      <c r="L496" s="9" t="s">
        <v>71</v>
      </c>
      <c r="M496" s="9"/>
      <c r="N496" s="9">
        <f>ROUND((IF(G496="",Analysis!$B$2,G496)-F496)/365.25,1)</f>
        <v>2.4</v>
      </c>
      <c r="O496" s="9" t="str">
        <f>IF(G496="","",YEAR(G496))</f>
        <v/>
      </c>
      <c r="P496" s="9" t="str">
        <f>IF(E496&lt;30,"&lt;30",IF(E496&lt;40,"30-39","40+"))</f>
        <v>30-39</v>
      </c>
    </row>
    <row r="497" spans="1:16" x14ac:dyDescent="0.25">
      <c r="A497" s="9" t="s">
        <v>309</v>
      </c>
      <c r="B497" s="9" t="s">
        <v>63</v>
      </c>
      <c r="C497" s="9" t="s">
        <v>181</v>
      </c>
      <c r="D497" s="9" t="s">
        <v>102</v>
      </c>
      <c r="E497" s="9">
        <v>39</v>
      </c>
      <c r="F497" s="20">
        <v>44989</v>
      </c>
      <c r="G497" s="20"/>
      <c r="H497" s="9" t="s">
        <v>51</v>
      </c>
      <c r="I497" s="21">
        <v>99000</v>
      </c>
      <c r="J497" s="9">
        <v>4</v>
      </c>
      <c r="K497" s="9">
        <v>4</v>
      </c>
      <c r="L497" s="9" t="s">
        <v>71</v>
      </c>
      <c r="M497" s="9"/>
      <c r="N497" s="9">
        <f>ROUND((IF(G497="",Analysis!$B$2,G497)-F497)/365.25,1)</f>
        <v>3.6</v>
      </c>
      <c r="O497" s="9" t="str">
        <f>IF(G497="","",YEAR(G497))</f>
        <v/>
      </c>
      <c r="P497" s="9" t="str">
        <f>IF(E497&lt;30,"&lt;30",IF(E497&lt;40,"30-39","40+"))</f>
        <v>30-39</v>
      </c>
    </row>
    <row r="498" spans="1:16" x14ac:dyDescent="0.25">
      <c r="A498" s="9" t="s">
        <v>253</v>
      </c>
      <c r="B498" s="9" t="s">
        <v>63</v>
      </c>
      <c r="C498" s="9" t="s">
        <v>181</v>
      </c>
      <c r="D498" s="9" t="s">
        <v>102</v>
      </c>
      <c r="E498" s="9">
        <v>35</v>
      </c>
      <c r="F498" s="20">
        <v>46236</v>
      </c>
      <c r="G498" s="20"/>
      <c r="H498" s="9" t="s">
        <v>51</v>
      </c>
      <c r="I498" s="21">
        <v>100100</v>
      </c>
      <c r="J498" s="9">
        <v>4</v>
      </c>
      <c r="K498" s="9">
        <v>3</v>
      </c>
      <c r="L498" s="9" t="s">
        <v>70</v>
      </c>
      <c r="M498" s="9"/>
      <c r="N498" s="9">
        <f>ROUND((IF(G498="",Analysis!$B$2,G498)-F498)/365.25,1)</f>
        <v>0.2</v>
      </c>
      <c r="O498" s="9" t="str">
        <f>IF(G498="","",YEAR(G498))</f>
        <v/>
      </c>
      <c r="P498" s="9" t="str">
        <f>IF(E498&lt;30,"&lt;30",IF(E498&lt;40,"30-39","40+"))</f>
        <v>30-39</v>
      </c>
    </row>
    <row r="499" spans="1:16" x14ac:dyDescent="0.25">
      <c r="A499" s="9" t="s">
        <v>119</v>
      </c>
      <c r="B499" s="9" t="s">
        <v>61</v>
      </c>
      <c r="C499" s="9" t="s">
        <v>114</v>
      </c>
      <c r="D499" s="9" t="s">
        <v>102</v>
      </c>
      <c r="E499" s="9">
        <v>30</v>
      </c>
      <c r="F499" s="20">
        <v>43477</v>
      </c>
      <c r="G499" s="20"/>
      <c r="H499" s="9" t="s">
        <v>51</v>
      </c>
      <c r="I499" s="21">
        <v>102100</v>
      </c>
      <c r="J499" s="9">
        <v>4</v>
      </c>
      <c r="K499" s="9">
        <v>5</v>
      </c>
      <c r="L499" s="9" t="s">
        <v>71</v>
      </c>
      <c r="M499" s="9"/>
      <c r="N499" s="9">
        <f>ROUND((IF(G499="",Analysis!$B$2,G499)-F499)/365.25,1)</f>
        <v>7.8</v>
      </c>
      <c r="O499" s="9" t="str">
        <f>IF(G499="","",YEAR(G499))</f>
        <v/>
      </c>
      <c r="P499" s="9" t="str">
        <f>IF(E499&lt;30,"&lt;30",IF(E499&lt;40,"30-39","40+"))</f>
        <v>30-39</v>
      </c>
    </row>
    <row r="500" spans="1:16" x14ac:dyDescent="0.25">
      <c r="A500" s="9" t="s">
        <v>298</v>
      </c>
      <c r="B500" s="9" t="s">
        <v>59</v>
      </c>
      <c r="C500" s="9" t="s">
        <v>134</v>
      </c>
      <c r="D500" s="9" t="s">
        <v>102</v>
      </c>
      <c r="E500" s="9">
        <v>32</v>
      </c>
      <c r="F500" s="20">
        <v>44020</v>
      </c>
      <c r="G500" s="20"/>
      <c r="H500" s="9" t="s">
        <v>51</v>
      </c>
      <c r="I500" s="21">
        <v>106100</v>
      </c>
      <c r="J500" s="9">
        <v>4</v>
      </c>
      <c r="K500" s="9">
        <v>3</v>
      </c>
      <c r="L500" s="9" t="s">
        <v>71</v>
      </c>
      <c r="M500" s="9"/>
      <c r="N500" s="9">
        <f>ROUND((IF(G500="",Analysis!$B$2,G500)-F500)/365.25,1)</f>
        <v>6.3</v>
      </c>
      <c r="O500" s="9" t="str">
        <f>IF(G500="","",YEAR(G500))</f>
        <v/>
      </c>
      <c r="P500" s="9" t="str">
        <f>IF(E500&lt;30,"&lt;30",IF(E500&lt;40,"30-39","40+"))</f>
        <v>30-39</v>
      </c>
    </row>
    <row r="501" spans="1:16" x14ac:dyDescent="0.25">
      <c r="A501" s="9" t="s">
        <v>551</v>
      </c>
      <c r="B501" s="9" t="s">
        <v>61</v>
      </c>
      <c r="C501" s="9" t="s">
        <v>114</v>
      </c>
      <c r="D501" s="9" t="s">
        <v>110</v>
      </c>
      <c r="E501" s="9">
        <v>36</v>
      </c>
      <c r="F501" s="20">
        <v>43923</v>
      </c>
      <c r="G501" s="20"/>
      <c r="H501" s="9" t="s">
        <v>51</v>
      </c>
      <c r="I501" s="21">
        <v>106200</v>
      </c>
      <c r="J501" s="9">
        <v>4</v>
      </c>
      <c r="K501" s="9">
        <v>4</v>
      </c>
      <c r="L501" s="9" t="s">
        <v>70</v>
      </c>
      <c r="M501" s="9"/>
      <c r="N501" s="9">
        <f>ROUND((IF(G501="",Analysis!$B$2,G501)-F501)/365.25,1)</f>
        <v>6.6</v>
      </c>
      <c r="O501" s="9" t="str">
        <f>IF(G501="","",YEAR(G501))</f>
        <v/>
      </c>
      <c r="P501" s="9" t="str">
        <f>IF(E501&lt;30,"&lt;30",IF(E501&lt;40,"30-39","40+"))</f>
        <v>30-39</v>
      </c>
    </row>
    <row r="502" spans="1:16" x14ac:dyDescent="0.25">
      <c r="A502" s="9" t="s">
        <v>113</v>
      </c>
      <c r="B502" s="9" t="s">
        <v>61</v>
      </c>
      <c r="C502" s="9" t="s">
        <v>114</v>
      </c>
      <c r="D502" s="9" t="s">
        <v>102</v>
      </c>
      <c r="E502" s="9">
        <v>42</v>
      </c>
      <c r="F502" s="20">
        <v>44855</v>
      </c>
      <c r="G502" s="20"/>
      <c r="H502" s="9" t="s">
        <v>51</v>
      </c>
      <c r="I502" s="21">
        <v>109300</v>
      </c>
      <c r="J502" s="9">
        <v>4</v>
      </c>
      <c r="K502" s="9">
        <v>3</v>
      </c>
      <c r="L502" s="9" t="s">
        <v>70</v>
      </c>
      <c r="M502" s="9"/>
      <c r="N502" s="9">
        <f>ROUND((IF(G502="",Analysis!$B$2,G502)-F502)/365.25,1)</f>
        <v>4</v>
      </c>
      <c r="O502" s="9" t="str">
        <f>IF(G502="","",YEAR(G502))</f>
        <v/>
      </c>
      <c r="P502" s="9" t="str">
        <f>IF(E502&lt;30,"&lt;30",IF(E502&lt;40,"30-39","40+"))</f>
        <v>40+</v>
      </c>
    </row>
    <row r="503" spans="1:16" x14ac:dyDescent="0.25">
      <c r="A503" s="9" t="s">
        <v>645</v>
      </c>
      <c r="B503" s="9" t="s">
        <v>59</v>
      </c>
      <c r="C503" s="9" t="s">
        <v>107</v>
      </c>
      <c r="D503" s="9" t="s">
        <v>102</v>
      </c>
      <c r="E503" s="9">
        <v>21</v>
      </c>
      <c r="F503" s="20">
        <v>45600</v>
      </c>
      <c r="G503" s="20"/>
      <c r="H503" s="9" t="s">
        <v>51</v>
      </c>
      <c r="I503" s="21">
        <v>110800</v>
      </c>
      <c r="J503" s="9">
        <v>4</v>
      </c>
      <c r="K503" s="9">
        <v>3</v>
      </c>
      <c r="L503" s="9" t="s">
        <v>71</v>
      </c>
      <c r="M503" s="9"/>
      <c r="N503" s="9">
        <f>ROUND((IF(G503="",Analysis!$B$2,G503)-F503)/365.25,1)</f>
        <v>2</v>
      </c>
      <c r="O503" s="9" t="str">
        <f>IF(G503="","",YEAR(G503))</f>
        <v/>
      </c>
      <c r="P503" s="9" t="str">
        <f>IF(E503&lt;30,"&lt;30",IF(E503&lt;40,"30-39","40+"))</f>
        <v>&lt;30</v>
      </c>
    </row>
    <row r="504" spans="1:16" x14ac:dyDescent="0.25">
      <c r="A504" s="9" t="s">
        <v>616</v>
      </c>
      <c r="B504" s="9" t="s">
        <v>59</v>
      </c>
      <c r="C504" s="9" t="s">
        <v>107</v>
      </c>
      <c r="D504" s="9" t="s">
        <v>110</v>
      </c>
      <c r="E504" s="9">
        <v>24</v>
      </c>
      <c r="F504" s="20">
        <v>45321</v>
      </c>
      <c r="G504" s="20">
        <v>46260</v>
      </c>
      <c r="H504" s="9" t="s">
        <v>103</v>
      </c>
      <c r="I504" s="21">
        <v>113100</v>
      </c>
      <c r="J504" s="9">
        <v>4</v>
      </c>
      <c r="K504" s="9">
        <v>1</v>
      </c>
      <c r="L504" s="9" t="s">
        <v>71</v>
      </c>
      <c r="M504" s="9" t="s">
        <v>81</v>
      </c>
      <c r="N504" s="9">
        <f>ROUND((IF(G504="",Analysis!$B$2,G504)-F504)/365.25,1)</f>
        <v>2.6</v>
      </c>
      <c r="O504" s="9">
        <f>IF(G504="","",YEAR(G504))</f>
        <v>2026</v>
      </c>
      <c r="P504" s="9" t="str">
        <f>IF(E504&lt;30,"&lt;30",IF(E504&lt;40,"30-39","40+"))</f>
        <v>&lt;30</v>
      </c>
    </row>
    <row r="505" spans="1:16" x14ac:dyDescent="0.25">
      <c r="A505" s="9" t="s">
        <v>432</v>
      </c>
      <c r="B505" s="9" t="s">
        <v>59</v>
      </c>
      <c r="C505" s="9" t="s">
        <v>134</v>
      </c>
      <c r="D505" s="9" t="s">
        <v>102</v>
      </c>
      <c r="E505" s="9">
        <v>33</v>
      </c>
      <c r="F505" s="20">
        <v>43871</v>
      </c>
      <c r="G505" s="20"/>
      <c r="H505" s="9" t="s">
        <v>51</v>
      </c>
      <c r="I505" s="21">
        <v>113800</v>
      </c>
      <c r="J505" s="9">
        <v>4</v>
      </c>
      <c r="K505" s="9">
        <v>4</v>
      </c>
      <c r="L505" s="9" t="s">
        <v>71</v>
      </c>
      <c r="M505" s="9"/>
      <c r="N505" s="9">
        <f>ROUND((IF(G505="",Analysis!$B$2,G505)-F505)/365.25,1)</f>
        <v>6.7</v>
      </c>
      <c r="O505" s="9" t="str">
        <f>IF(G505="","",YEAR(G505))</f>
        <v/>
      </c>
      <c r="P505" s="9" t="str">
        <f>IF(E505&lt;30,"&lt;30",IF(E505&lt;40,"30-39","40+"))</f>
        <v>30-39</v>
      </c>
    </row>
    <row r="506" spans="1:16" x14ac:dyDescent="0.25">
      <c r="A506" s="9" t="s">
        <v>467</v>
      </c>
      <c r="B506" s="9" t="s">
        <v>61</v>
      </c>
      <c r="C506" s="9" t="s">
        <v>114</v>
      </c>
      <c r="D506" s="9" t="s">
        <v>110</v>
      </c>
      <c r="E506" s="9">
        <v>21</v>
      </c>
      <c r="F506" s="20">
        <v>43843</v>
      </c>
      <c r="G506" s="20"/>
      <c r="H506" s="9" t="s">
        <v>51</v>
      </c>
      <c r="I506" s="21">
        <v>114200</v>
      </c>
      <c r="J506" s="9">
        <v>4</v>
      </c>
      <c r="K506" s="9">
        <v>4</v>
      </c>
      <c r="L506" s="9" t="s">
        <v>71</v>
      </c>
      <c r="M506" s="9"/>
      <c r="N506" s="9">
        <f>ROUND((IF(G506="",Analysis!$B$2,G506)-F506)/365.25,1)</f>
        <v>6.8</v>
      </c>
      <c r="O506" s="9" t="str">
        <f>IF(G506="","",YEAR(G506))</f>
        <v/>
      </c>
      <c r="P506" s="9" t="str">
        <f>IF(E506&lt;30,"&lt;30",IF(E506&lt;40,"30-39","40+"))</f>
        <v>&lt;30</v>
      </c>
    </row>
    <row r="507" spans="1:16" x14ac:dyDescent="0.25">
      <c r="A507" s="9" t="s">
        <v>558</v>
      </c>
      <c r="B507" s="9" t="s">
        <v>59</v>
      </c>
      <c r="C507" s="9" t="s">
        <v>134</v>
      </c>
      <c r="D507" s="9" t="s">
        <v>102</v>
      </c>
      <c r="E507" s="9">
        <v>21</v>
      </c>
      <c r="F507" s="20">
        <v>44326</v>
      </c>
      <c r="G507" s="20"/>
      <c r="H507" s="9" t="s">
        <v>51</v>
      </c>
      <c r="I507" s="21">
        <v>117100</v>
      </c>
      <c r="J507" s="9">
        <v>4</v>
      </c>
      <c r="K507" s="9">
        <v>2</v>
      </c>
      <c r="L507" s="9" t="s">
        <v>70</v>
      </c>
      <c r="M507" s="9"/>
      <c r="N507" s="9">
        <f>ROUND((IF(G507="",Analysis!$B$2,G507)-F507)/365.25,1)</f>
        <v>5.5</v>
      </c>
      <c r="O507" s="9" t="str">
        <f>IF(G507="","",YEAR(G507))</f>
        <v/>
      </c>
      <c r="P507" s="9" t="str">
        <f>IF(E507&lt;30,"&lt;30",IF(E507&lt;40,"30-39","40+"))</f>
        <v>&lt;30</v>
      </c>
    </row>
    <row r="508" spans="1:16" x14ac:dyDescent="0.25">
      <c r="A508" s="9" t="s">
        <v>392</v>
      </c>
      <c r="B508" s="9" t="s">
        <v>59</v>
      </c>
      <c r="C508" s="9" t="s">
        <v>134</v>
      </c>
      <c r="D508" s="9" t="s">
        <v>102</v>
      </c>
      <c r="E508" s="9">
        <v>35</v>
      </c>
      <c r="F508" s="20">
        <v>43128</v>
      </c>
      <c r="G508" s="20"/>
      <c r="H508" s="9" t="s">
        <v>51</v>
      </c>
      <c r="I508" s="21">
        <v>119100</v>
      </c>
      <c r="J508" s="9">
        <v>4</v>
      </c>
      <c r="K508" s="9">
        <v>3</v>
      </c>
      <c r="L508" s="9" t="s">
        <v>71</v>
      </c>
      <c r="M508" s="9"/>
      <c r="N508" s="9">
        <f>ROUND((IF(G508="",Analysis!$B$2,G508)-F508)/365.25,1)</f>
        <v>8.6999999999999993</v>
      </c>
      <c r="O508" s="9" t="str">
        <f>IF(G508="","",YEAR(G508))</f>
        <v/>
      </c>
      <c r="P508" s="9" t="str">
        <f>IF(E508&lt;30,"&lt;30",IF(E508&lt;40,"30-39","40+"))</f>
        <v>30-39</v>
      </c>
    </row>
    <row r="509" spans="1:16" x14ac:dyDescent="0.25">
      <c r="A509" s="9" t="s">
        <v>154</v>
      </c>
      <c r="B509" s="9" t="s">
        <v>59</v>
      </c>
      <c r="C509" s="9" t="s">
        <v>134</v>
      </c>
      <c r="D509" s="9" t="s">
        <v>102</v>
      </c>
      <c r="E509" s="9">
        <v>27</v>
      </c>
      <c r="F509" s="20">
        <v>45298</v>
      </c>
      <c r="G509" s="20"/>
      <c r="H509" s="9" t="s">
        <v>51</v>
      </c>
      <c r="I509" s="21">
        <v>130200</v>
      </c>
      <c r="J509" s="9">
        <v>4</v>
      </c>
      <c r="K509" s="9">
        <v>4</v>
      </c>
      <c r="L509" s="9" t="s">
        <v>71</v>
      </c>
      <c r="M509" s="9"/>
      <c r="N509" s="9">
        <f>ROUND((IF(G509="",Analysis!$B$2,G509)-F509)/365.25,1)</f>
        <v>2.8</v>
      </c>
      <c r="O509" s="9" t="str">
        <f>IF(G509="","",YEAR(G509))</f>
        <v/>
      </c>
      <c r="P509" s="9" t="str">
        <f>IF(E509&lt;30,"&lt;30",IF(E509&lt;40,"30-39","40+"))</f>
        <v>&lt;30</v>
      </c>
    </row>
    <row r="510" spans="1:16" x14ac:dyDescent="0.25">
      <c r="A510" s="9" t="s">
        <v>395</v>
      </c>
      <c r="B510" s="9" t="s">
        <v>59</v>
      </c>
      <c r="C510" s="9" t="s">
        <v>163</v>
      </c>
      <c r="D510" s="9" t="s">
        <v>110</v>
      </c>
      <c r="E510" s="9">
        <v>37</v>
      </c>
      <c r="F510" s="20">
        <v>45418</v>
      </c>
      <c r="G510" s="20"/>
      <c r="H510" s="9" t="s">
        <v>51</v>
      </c>
      <c r="I510" s="21">
        <v>135600</v>
      </c>
      <c r="J510" s="9">
        <v>4</v>
      </c>
      <c r="K510" s="9">
        <v>5</v>
      </c>
      <c r="L510" s="9" t="s">
        <v>71</v>
      </c>
      <c r="M510" s="9"/>
      <c r="N510" s="9">
        <f>ROUND((IF(G510="",Analysis!$B$2,G510)-F510)/365.25,1)</f>
        <v>2.5</v>
      </c>
      <c r="O510" s="9" t="str">
        <f>IF(G510="","",YEAR(G510))</f>
        <v/>
      </c>
      <c r="P510" s="9" t="str">
        <f>IF(E510&lt;30,"&lt;30",IF(E510&lt;40,"30-39","40+"))</f>
        <v>30-39</v>
      </c>
    </row>
    <row r="511" spans="1:16" x14ac:dyDescent="0.25">
      <c r="A511" s="9" t="s">
        <v>249</v>
      </c>
      <c r="B511" s="9" t="s">
        <v>59</v>
      </c>
      <c r="C511" s="9" t="s">
        <v>163</v>
      </c>
      <c r="D511" s="9" t="s">
        <v>102</v>
      </c>
      <c r="E511" s="9">
        <v>37</v>
      </c>
      <c r="F511" s="20">
        <v>44155</v>
      </c>
      <c r="G511" s="20"/>
      <c r="H511" s="9" t="s">
        <v>51</v>
      </c>
      <c r="I511" s="21">
        <v>145100</v>
      </c>
      <c r="J511" s="9">
        <v>4</v>
      </c>
      <c r="K511" s="9">
        <v>3</v>
      </c>
      <c r="L511" s="9" t="s">
        <v>71</v>
      </c>
      <c r="M511" s="9"/>
      <c r="N511" s="9">
        <f>ROUND((IF(G511="",Analysis!$B$2,G511)-F511)/365.25,1)</f>
        <v>5.9</v>
      </c>
      <c r="O511" s="9" t="str">
        <f>IF(G511="","",YEAR(G511))</f>
        <v/>
      </c>
      <c r="P511" s="9" t="str">
        <f>IF(E511&lt;30,"&lt;30",IF(E511&lt;40,"30-39","40+"))</f>
        <v>30-39</v>
      </c>
    </row>
    <row r="512" spans="1:16" x14ac:dyDescent="0.25">
      <c r="A512" s="9" t="s">
        <v>173</v>
      </c>
      <c r="B512" s="9" t="s">
        <v>59</v>
      </c>
      <c r="C512" s="9" t="s">
        <v>163</v>
      </c>
      <c r="D512" s="9" t="s">
        <v>110</v>
      </c>
      <c r="E512" s="9">
        <v>38</v>
      </c>
      <c r="F512" s="20">
        <v>43416</v>
      </c>
      <c r="G512" s="20"/>
      <c r="H512" s="9" t="s">
        <v>51</v>
      </c>
      <c r="I512" s="21">
        <v>151800</v>
      </c>
      <c r="J512" s="9">
        <v>4</v>
      </c>
      <c r="K512" s="9">
        <v>5</v>
      </c>
      <c r="L512" s="9" t="s">
        <v>71</v>
      </c>
      <c r="M512" s="9"/>
      <c r="N512" s="9">
        <f>ROUND((IF(G512="",Analysis!$B$2,G512)-F512)/365.25,1)</f>
        <v>8</v>
      </c>
      <c r="O512" s="9" t="str">
        <f>IF(G512="","",YEAR(G512))</f>
        <v/>
      </c>
      <c r="P512" s="9" t="str">
        <f>IF(E512&lt;30,"&lt;30",IF(E512&lt;40,"30-39","40+"))</f>
        <v>30-39</v>
      </c>
    </row>
    <row r="513" spans="1:16" x14ac:dyDescent="0.25">
      <c r="A513" s="9" t="s">
        <v>199</v>
      </c>
      <c r="B513" s="9" t="s">
        <v>58</v>
      </c>
      <c r="C513" s="9" t="s">
        <v>128</v>
      </c>
      <c r="D513" s="9" t="s">
        <v>110</v>
      </c>
      <c r="E513" s="9">
        <v>40</v>
      </c>
      <c r="F513" s="20">
        <v>44368</v>
      </c>
      <c r="G513" s="20"/>
      <c r="H513" s="9" t="s">
        <v>51</v>
      </c>
      <c r="I513" s="21">
        <v>35200</v>
      </c>
      <c r="J513" s="9">
        <v>5</v>
      </c>
      <c r="K513" s="9">
        <v>4</v>
      </c>
      <c r="L513" s="9" t="s">
        <v>71</v>
      </c>
      <c r="M513" s="9"/>
      <c r="N513" s="9">
        <f>ROUND((IF(G513="",Analysis!$B$2,G513)-F513)/365.25,1)</f>
        <v>5.3</v>
      </c>
      <c r="O513" s="9" t="str">
        <f>IF(G513="","",YEAR(G513))</f>
        <v/>
      </c>
      <c r="P513" s="9" t="str">
        <f>IF(E513&lt;30,"&lt;30",IF(E513&lt;40,"30-39","40+"))</f>
        <v>40+</v>
      </c>
    </row>
    <row r="514" spans="1:16" x14ac:dyDescent="0.25">
      <c r="A514" s="9" t="s">
        <v>601</v>
      </c>
      <c r="B514" s="9" t="s">
        <v>62</v>
      </c>
      <c r="C514" s="9" t="s">
        <v>109</v>
      </c>
      <c r="D514" s="9" t="s">
        <v>110</v>
      </c>
      <c r="E514" s="9">
        <v>44</v>
      </c>
      <c r="F514" s="20">
        <v>45615</v>
      </c>
      <c r="G514" s="20"/>
      <c r="H514" s="9" t="s">
        <v>51</v>
      </c>
      <c r="I514" s="21">
        <v>43000</v>
      </c>
      <c r="J514" s="9">
        <v>5</v>
      </c>
      <c r="K514" s="9">
        <v>3</v>
      </c>
      <c r="L514" s="9" t="s">
        <v>71</v>
      </c>
      <c r="M514" s="9"/>
      <c r="N514" s="9">
        <f>ROUND((IF(G514="",Analysis!$B$2,G514)-F514)/365.25,1)</f>
        <v>1.9</v>
      </c>
      <c r="O514" s="9" t="str">
        <f>IF(G514="","",YEAR(G514))</f>
        <v/>
      </c>
      <c r="P514" s="9" t="str">
        <f>IF(E514&lt;30,"&lt;30",IF(E514&lt;40,"30-39","40+"))</f>
        <v>40+</v>
      </c>
    </row>
    <row r="515" spans="1:16" x14ac:dyDescent="0.25">
      <c r="A515" s="9" t="s">
        <v>132</v>
      </c>
      <c r="B515" s="9" t="s">
        <v>62</v>
      </c>
      <c r="C515" s="9" t="s">
        <v>116</v>
      </c>
      <c r="D515" s="9" t="s">
        <v>110</v>
      </c>
      <c r="E515" s="9">
        <v>29</v>
      </c>
      <c r="F515" s="20">
        <v>44266</v>
      </c>
      <c r="G515" s="20"/>
      <c r="H515" s="9" t="s">
        <v>51</v>
      </c>
      <c r="I515" s="21">
        <v>46000</v>
      </c>
      <c r="J515" s="9">
        <v>5</v>
      </c>
      <c r="K515" s="9">
        <v>3</v>
      </c>
      <c r="L515" s="9" t="s">
        <v>71</v>
      </c>
      <c r="M515" s="9"/>
      <c r="N515" s="9">
        <f>ROUND((IF(G515="",Analysis!$B$2,G515)-F515)/365.25,1)</f>
        <v>5.6</v>
      </c>
      <c r="O515" s="9" t="str">
        <f>IF(G515="","",YEAR(G515))</f>
        <v/>
      </c>
      <c r="P515" s="9" t="str">
        <f>IF(E515&lt;30,"&lt;30",IF(E515&lt;40,"30-39","40+"))</f>
        <v>&lt;30</v>
      </c>
    </row>
    <row r="516" spans="1:16" x14ac:dyDescent="0.25">
      <c r="A516" s="9" t="s">
        <v>446</v>
      </c>
      <c r="B516" s="9" t="s">
        <v>57</v>
      </c>
      <c r="C516" s="9" t="s">
        <v>147</v>
      </c>
      <c r="D516" s="9" t="s">
        <v>110</v>
      </c>
      <c r="E516" s="9">
        <v>37</v>
      </c>
      <c r="F516" s="20">
        <v>46089</v>
      </c>
      <c r="G516" s="20"/>
      <c r="H516" s="9" t="s">
        <v>51</v>
      </c>
      <c r="I516" s="21">
        <v>46900</v>
      </c>
      <c r="J516" s="9">
        <v>5</v>
      </c>
      <c r="K516" s="9">
        <v>2</v>
      </c>
      <c r="L516" s="9" t="s">
        <v>71</v>
      </c>
      <c r="M516" s="9"/>
      <c r="N516" s="9">
        <f>ROUND((IF(G516="",Analysis!$B$2,G516)-F516)/365.25,1)</f>
        <v>0.6</v>
      </c>
      <c r="O516" s="9" t="str">
        <f>IF(G516="","",YEAR(G516))</f>
        <v/>
      </c>
      <c r="P516" s="9" t="str">
        <f>IF(E516&lt;30,"&lt;30",IF(E516&lt;40,"30-39","40+"))</f>
        <v>30-39</v>
      </c>
    </row>
    <row r="517" spans="1:16" x14ac:dyDescent="0.25">
      <c r="A517" s="9" t="s">
        <v>376</v>
      </c>
      <c r="B517" s="9" t="s">
        <v>57</v>
      </c>
      <c r="C517" s="9" t="s">
        <v>147</v>
      </c>
      <c r="D517" s="9" t="s">
        <v>110</v>
      </c>
      <c r="E517" s="9">
        <v>24</v>
      </c>
      <c r="F517" s="20">
        <v>43623</v>
      </c>
      <c r="G517" s="20">
        <v>45604</v>
      </c>
      <c r="H517" s="9" t="s">
        <v>103</v>
      </c>
      <c r="I517" s="21">
        <v>48400</v>
      </c>
      <c r="J517" s="9">
        <v>5</v>
      </c>
      <c r="K517" s="9">
        <v>3</v>
      </c>
      <c r="L517" s="9" t="s">
        <v>71</v>
      </c>
      <c r="M517" s="9" t="s">
        <v>80</v>
      </c>
      <c r="N517" s="9">
        <f>ROUND((IF(G517="",Analysis!$B$2,G517)-F517)/365.25,1)</f>
        <v>5.4</v>
      </c>
      <c r="O517" s="9">
        <f>IF(G517="","",YEAR(G517))</f>
        <v>2024</v>
      </c>
      <c r="P517" s="9" t="str">
        <f>IF(E517&lt;30,"&lt;30",IF(E517&lt;40,"30-39","40+"))</f>
        <v>&lt;30</v>
      </c>
    </row>
    <row r="518" spans="1:16" x14ac:dyDescent="0.25">
      <c r="A518" s="9" t="s">
        <v>327</v>
      </c>
      <c r="B518" s="9" t="s">
        <v>63</v>
      </c>
      <c r="C518" s="9" t="s">
        <v>125</v>
      </c>
      <c r="D518" s="9" t="s">
        <v>102</v>
      </c>
      <c r="E518" s="9">
        <v>33</v>
      </c>
      <c r="F518" s="20">
        <v>43954</v>
      </c>
      <c r="G518" s="20">
        <v>45580</v>
      </c>
      <c r="H518" s="9" t="s">
        <v>103</v>
      </c>
      <c r="I518" s="21">
        <v>49300</v>
      </c>
      <c r="J518" s="9">
        <v>5</v>
      </c>
      <c r="K518" s="9">
        <v>3</v>
      </c>
      <c r="L518" s="9" t="s">
        <v>71</v>
      </c>
      <c r="M518" s="9" t="s">
        <v>84</v>
      </c>
      <c r="N518" s="9">
        <f>ROUND((IF(G518="",Analysis!$B$2,G518)-F518)/365.25,1)</f>
        <v>4.5</v>
      </c>
      <c r="O518" s="9">
        <f>IF(G518="","",YEAR(G518))</f>
        <v>2024</v>
      </c>
      <c r="P518" s="9" t="str">
        <f>IF(E518&lt;30,"&lt;30",IF(E518&lt;40,"30-39","40+"))</f>
        <v>30-39</v>
      </c>
    </row>
    <row r="519" spans="1:16" x14ac:dyDescent="0.25">
      <c r="A519" s="9" t="s">
        <v>444</v>
      </c>
      <c r="B519" s="9" t="s">
        <v>57</v>
      </c>
      <c r="C519" s="9" t="s">
        <v>112</v>
      </c>
      <c r="D519" s="9" t="s">
        <v>102</v>
      </c>
      <c r="E519" s="9">
        <v>25</v>
      </c>
      <c r="F519" s="20">
        <v>44663</v>
      </c>
      <c r="G519" s="20"/>
      <c r="H519" s="9" t="s">
        <v>51</v>
      </c>
      <c r="I519" s="21">
        <v>52100</v>
      </c>
      <c r="J519" s="9">
        <v>5</v>
      </c>
      <c r="K519" s="9">
        <v>4</v>
      </c>
      <c r="L519" s="9" t="s">
        <v>71</v>
      </c>
      <c r="M519" s="9"/>
      <c r="N519" s="9">
        <f>ROUND((IF(G519="",Analysis!$B$2,G519)-F519)/365.25,1)</f>
        <v>4.5</v>
      </c>
      <c r="O519" s="9" t="str">
        <f>IF(G519="","",YEAR(G519))</f>
        <v/>
      </c>
      <c r="P519" s="9" t="str">
        <f>IF(E519&lt;30,"&lt;30",IF(E519&lt;40,"30-39","40+"))</f>
        <v>&lt;30</v>
      </c>
    </row>
    <row r="520" spans="1:16" x14ac:dyDescent="0.25">
      <c r="A520" s="9" t="s">
        <v>282</v>
      </c>
      <c r="B520" s="9" t="s">
        <v>57</v>
      </c>
      <c r="C520" s="9" t="s">
        <v>147</v>
      </c>
      <c r="D520" s="9" t="s">
        <v>110</v>
      </c>
      <c r="E520" s="9">
        <v>22</v>
      </c>
      <c r="F520" s="20">
        <v>44620</v>
      </c>
      <c r="G520" s="20"/>
      <c r="H520" s="9" t="s">
        <v>51</v>
      </c>
      <c r="I520" s="21">
        <v>52200</v>
      </c>
      <c r="J520" s="9">
        <v>5</v>
      </c>
      <c r="K520" s="9">
        <v>4</v>
      </c>
      <c r="L520" s="9" t="s">
        <v>71</v>
      </c>
      <c r="M520" s="9"/>
      <c r="N520" s="9">
        <f>ROUND((IF(G520="",Analysis!$B$2,G520)-F520)/365.25,1)</f>
        <v>4.7</v>
      </c>
      <c r="O520" s="9" t="str">
        <f>IF(G520="","",YEAR(G520))</f>
        <v/>
      </c>
      <c r="P520" s="9" t="str">
        <f>IF(E520&lt;30,"&lt;30",IF(E520&lt;40,"30-39","40+"))</f>
        <v>&lt;30</v>
      </c>
    </row>
    <row r="521" spans="1:16" x14ac:dyDescent="0.25">
      <c r="A521" s="9" t="s">
        <v>370</v>
      </c>
      <c r="B521" s="9" t="s">
        <v>62</v>
      </c>
      <c r="C521" s="9" t="s">
        <v>116</v>
      </c>
      <c r="D521" s="9" t="s">
        <v>102</v>
      </c>
      <c r="E521" s="9">
        <v>26</v>
      </c>
      <c r="F521" s="20">
        <v>45352</v>
      </c>
      <c r="G521" s="20"/>
      <c r="H521" s="9" t="s">
        <v>51</v>
      </c>
      <c r="I521" s="21">
        <v>52500</v>
      </c>
      <c r="J521" s="9">
        <v>5</v>
      </c>
      <c r="K521" s="9">
        <v>4</v>
      </c>
      <c r="L521" s="9" t="s">
        <v>70</v>
      </c>
      <c r="M521" s="9"/>
      <c r="N521" s="9">
        <f>ROUND((IF(G521="",Analysis!$B$2,G521)-F521)/365.25,1)</f>
        <v>2.7</v>
      </c>
      <c r="O521" s="9" t="str">
        <f>IF(G521="","",YEAR(G521))</f>
        <v/>
      </c>
      <c r="P521" s="9" t="str">
        <f>IF(E521&lt;30,"&lt;30",IF(E521&lt;40,"30-39","40+"))</f>
        <v>&lt;30</v>
      </c>
    </row>
    <row r="522" spans="1:16" x14ac:dyDescent="0.25">
      <c r="A522" s="9" t="s">
        <v>213</v>
      </c>
      <c r="B522" s="9" t="s">
        <v>57</v>
      </c>
      <c r="C522" s="9" t="s">
        <v>112</v>
      </c>
      <c r="D522" s="9" t="s">
        <v>110</v>
      </c>
      <c r="E522" s="9">
        <v>33</v>
      </c>
      <c r="F522" s="20">
        <v>44966</v>
      </c>
      <c r="G522" s="20"/>
      <c r="H522" s="9" t="s">
        <v>51</v>
      </c>
      <c r="I522" s="21">
        <v>52600</v>
      </c>
      <c r="J522" s="9">
        <v>5</v>
      </c>
      <c r="K522" s="9">
        <v>5</v>
      </c>
      <c r="L522" s="9" t="s">
        <v>71</v>
      </c>
      <c r="M522" s="9"/>
      <c r="N522" s="9">
        <f>ROUND((IF(G522="",Analysis!$B$2,G522)-F522)/365.25,1)</f>
        <v>3.7</v>
      </c>
      <c r="O522" s="9" t="str">
        <f>IF(G522="","",YEAR(G522))</f>
        <v/>
      </c>
      <c r="P522" s="9" t="str">
        <f>IF(E522&lt;30,"&lt;30",IF(E522&lt;40,"30-39","40+"))</f>
        <v>30-39</v>
      </c>
    </row>
    <row r="523" spans="1:16" x14ac:dyDescent="0.25">
      <c r="A523" s="9" t="s">
        <v>562</v>
      </c>
      <c r="B523" s="9" t="s">
        <v>62</v>
      </c>
      <c r="C523" s="9" t="s">
        <v>116</v>
      </c>
      <c r="D523" s="9" t="s">
        <v>110</v>
      </c>
      <c r="E523" s="9">
        <v>36</v>
      </c>
      <c r="F523" s="20">
        <v>44544</v>
      </c>
      <c r="G523" s="20"/>
      <c r="H523" s="9" t="s">
        <v>51</v>
      </c>
      <c r="I523" s="21">
        <v>53700</v>
      </c>
      <c r="J523" s="9">
        <v>5</v>
      </c>
      <c r="K523" s="9">
        <v>4</v>
      </c>
      <c r="L523" s="9" t="s">
        <v>71</v>
      </c>
      <c r="M523" s="9"/>
      <c r="N523" s="9">
        <f>ROUND((IF(G523="",Analysis!$B$2,G523)-F523)/365.25,1)</f>
        <v>4.9000000000000004</v>
      </c>
      <c r="O523" s="9" t="str">
        <f>IF(G523="","",YEAR(G523))</f>
        <v/>
      </c>
      <c r="P523" s="9" t="str">
        <f>IF(E523&lt;30,"&lt;30",IF(E523&lt;40,"30-39","40+"))</f>
        <v>30-39</v>
      </c>
    </row>
    <row r="524" spans="1:16" x14ac:dyDescent="0.25">
      <c r="A524" s="9" t="s">
        <v>129</v>
      </c>
      <c r="B524" s="9" t="s">
        <v>60</v>
      </c>
      <c r="C524" s="9" t="s">
        <v>130</v>
      </c>
      <c r="D524" s="9" t="s">
        <v>110</v>
      </c>
      <c r="E524" s="9">
        <v>44</v>
      </c>
      <c r="F524" s="20">
        <v>43304</v>
      </c>
      <c r="G524" s="20"/>
      <c r="H524" s="9" t="s">
        <v>51</v>
      </c>
      <c r="I524" s="21">
        <v>53800</v>
      </c>
      <c r="J524" s="9">
        <v>5</v>
      </c>
      <c r="K524" s="9">
        <v>4</v>
      </c>
      <c r="L524" s="9" t="s">
        <v>70</v>
      </c>
      <c r="M524" s="9"/>
      <c r="N524" s="9">
        <f>ROUND((IF(G524="",Analysis!$B$2,G524)-F524)/365.25,1)</f>
        <v>8.3000000000000007</v>
      </c>
      <c r="O524" s="9" t="str">
        <f>IF(G524="","",YEAR(G524))</f>
        <v/>
      </c>
      <c r="P524" s="9" t="str">
        <f>IF(E524&lt;30,"&lt;30",IF(E524&lt;40,"30-39","40+"))</f>
        <v>40+</v>
      </c>
    </row>
    <row r="525" spans="1:16" x14ac:dyDescent="0.25">
      <c r="A525" s="9" t="s">
        <v>683</v>
      </c>
      <c r="B525" s="9" t="s">
        <v>58</v>
      </c>
      <c r="C525" s="9" t="s">
        <v>121</v>
      </c>
      <c r="D525" s="9" t="s">
        <v>102</v>
      </c>
      <c r="E525" s="9">
        <v>23</v>
      </c>
      <c r="F525" s="20">
        <v>45845</v>
      </c>
      <c r="G525" s="20"/>
      <c r="H525" s="9" t="s">
        <v>51</v>
      </c>
      <c r="I525" s="21">
        <v>54000</v>
      </c>
      <c r="J525" s="9">
        <v>5</v>
      </c>
      <c r="K525" s="9">
        <v>5</v>
      </c>
      <c r="L525" s="9" t="s">
        <v>71</v>
      </c>
      <c r="M525" s="9"/>
      <c r="N525" s="9">
        <f>ROUND((IF(G525="",Analysis!$B$2,G525)-F525)/365.25,1)</f>
        <v>1.3</v>
      </c>
      <c r="O525" s="9" t="str">
        <f>IF(G525="","",YEAR(G525))</f>
        <v/>
      </c>
      <c r="P525" s="9" t="str">
        <f>IF(E525&lt;30,"&lt;30",IF(E525&lt;40,"30-39","40+"))</f>
        <v>&lt;30</v>
      </c>
    </row>
    <row r="526" spans="1:16" x14ac:dyDescent="0.25">
      <c r="A526" s="9" t="s">
        <v>272</v>
      </c>
      <c r="B526" s="9" t="s">
        <v>58</v>
      </c>
      <c r="C526" s="9" t="s">
        <v>101</v>
      </c>
      <c r="D526" s="9" t="s">
        <v>110</v>
      </c>
      <c r="E526" s="9">
        <v>21</v>
      </c>
      <c r="F526" s="20">
        <v>44110</v>
      </c>
      <c r="G526" s="20"/>
      <c r="H526" s="9" t="s">
        <v>51</v>
      </c>
      <c r="I526" s="21">
        <v>54400</v>
      </c>
      <c r="J526" s="9">
        <v>5</v>
      </c>
      <c r="K526" s="9">
        <v>3</v>
      </c>
      <c r="L526" s="9" t="s">
        <v>70</v>
      </c>
      <c r="M526" s="9"/>
      <c r="N526" s="9">
        <f>ROUND((IF(G526="",Analysis!$B$2,G526)-F526)/365.25,1)</f>
        <v>6.1</v>
      </c>
      <c r="O526" s="9" t="str">
        <f>IF(G526="","",YEAR(G526))</f>
        <v/>
      </c>
      <c r="P526" s="9" t="str">
        <f>IF(E526&lt;30,"&lt;30",IF(E526&lt;40,"30-39","40+"))</f>
        <v>&lt;30</v>
      </c>
    </row>
    <row r="527" spans="1:16" x14ac:dyDescent="0.25">
      <c r="A527" s="9" t="s">
        <v>176</v>
      </c>
      <c r="B527" s="9" t="s">
        <v>61</v>
      </c>
      <c r="C527" s="9" t="s">
        <v>123</v>
      </c>
      <c r="D527" s="9" t="s">
        <v>110</v>
      </c>
      <c r="E527" s="9">
        <v>49</v>
      </c>
      <c r="F527" s="20">
        <v>43663</v>
      </c>
      <c r="G527" s="20"/>
      <c r="H527" s="9" t="s">
        <v>51</v>
      </c>
      <c r="I527" s="21">
        <v>55700</v>
      </c>
      <c r="J527" s="9">
        <v>5</v>
      </c>
      <c r="K527" s="9">
        <v>3</v>
      </c>
      <c r="L527" s="9" t="s">
        <v>71</v>
      </c>
      <c r="M527" s="9"/>
      <c r="N527" s="9">
        <f>ROUND((IF(G527="",Analysis!$B$2,G527)-F527)/365.25,1)</f>
        <v>7.3</v>
      </c>
      <c r="O527" s="9" t="str">
        <f>IF(G527="","",YEAR(G527))</f>
        <v/>
      </c>
      <c r="P527" s="9" t="str">
        <f>IF(E527&lt;30,"&lt;30",IF(E527&lt;40,"30-39","40+"))</f>
        <v>40+</v>
      </c>
    </row>
    <row r="528" spans="1:16" x14ac:dyDescent="0.25">
      <c r="A528" s="9" t="s">
        <v>574</v>
      </c>
      <c r="B528" s="9" t="s">
        <v>57</v>
      </c>
      <c r="C528" s="9" t="s">
        <v>112</v>
      </c>
      <c r="D528" s="9" t="s">
        <v>102</v>
      </c>
      <c r="E528" s="9">
        <v>30</v>
      </c>
      <c r="F528" s="20">
        <v>44516</v>
      </c>
      <c r="G528" s="20"/>
      <c r="H528" s="9" t="s">
        <v>51</v>
      </c>
      <c r="I528" s="21">
        <v>55900</v>
      </c>
      <c r="J528" s="9">
        <v>5</v>
      </c>
      <c r="K528" s="9">
        <v>3</v>
      </c>
      <c r="L528" s="9" t="s">
        <v>71</v>
      </c>
      <c r="M528" s="9"/>
      <c r="N528" s="9">
        <f>ROUND((IF(G528="",Analysis!$B$2,G528)-F528)/365.25,1)</f>
        <v>4.9000000000000004</v>
      </c>
      <c r="O528" s="9" t="str">
        <f>IF(G528="","",YEAR(G528))</f>
        <v/>
      </c>
      <c r="P528" s="9" t="str">
        <f>IF(E528&lt;30,"&lt;30",IF(E528&lt;40,"30-39","40+"))</f>
        <v>30-39</v>
      </c>
    </row>
    <row r="529" spans="1:16" x14ac:dyDescent="0.25">
      <c r="A529" s="9" t="s">
        <v>437</v>
      </c>
      <c r="B529" s="9" t="s">
        <v>63</v>
      </c>
      <c r="C529" s="9" t="s">
        <v>125</v>
      </c>
      <c r="D529" s="9" t="s">
        <v>110</v>
      </c>
      <c r="E529" s="9">
        <v>25</v>
      </c>
      <c r="F529" s="20">
        <v>43820</v>
      </c>
      <c r="G529" s="20"/>
      <c r="H529" s="9" t="s">
        <v>51</v>
      </c>
      <c r="I529" s="21">
        <v>56000</v>
      </c>
      <c r="J529" s="9">
        <v>5</v>
      </c>
      <c r="K529" s="9">
        <v>5</v>
      </c>
      <c r="L529" s="9" t="s">
        <v>70</v>
      </c>
      <c r="M529" s="9"/>
      <c r="N529" s="9">
        <f>ROUND((IF(G529="",Analysis!$B$2,G529)-F529)/365.25,1)</f>
        <v>6.9</v>
      </c>
      <c r="O529" s="9" t="str">
        <f>IF(G529="","",YEAR(G529))</f>
        <v/>
      </c>
      <c r="P529" s="9" t="str">
        <f>IF(E529&lt;30,"&lt;30",IF(E529&lt;40,"30-39","40+"))</f>
        <v>&lt;30</v>
      </c>
    </row>
    <row r="530" spans="1:16" x14ac:dyDescent="0.25">
      <c r="A530" s="9" t="s">
        <v>544</v>
      </c>
      <c r="B530" s="9" t="s">
        <v>62</v>
      </c>
      <c r="C530" s="9" t="s">
        <v>116</v>
      </c>
      <c r="D530" s="9" t="s">
        <v>102</v>
      </c>
      <c r="E530" s="9">
        <v>27</v>
      </c>
      <c r="F530" s="20">
        <v>45772</v>
      </c>
      <c r="G530" s="20"/>
      <c r="H530" s="9" t="s">
        <v>51</v>
      </c>
      <c r="I530" s="21">
        <v>60600</v>
      </c>
      <c r="J530" s="9">
        <v>5</v>
      </c>
      <c r="K530" s="9">
        <v>4</v>
      </c>
      <c r="L530" s="9" t="s">
        <v>71</v>
      </c>
      <c r="M530" s="9"/>
      <c r="N530" s="9">
        <f>ROUND((IF(G530="",Analysis!$B$2,G530)-F530)/365.25,1)</f>
        <v>1.5</v>
      </c>
      <c r="O530" s="9" t="str">
        <f>IF(G530="","",YEAR(G530))</f>
        <v/>
      </c>
      <c r="P530" s="9" t="str">
        <f>IF(E530&lt;30,"&lt;30",IF(E530&lt;40,"30-39","40+"))</f>
        <v>&lt;30</v>
      </c>
    </row>
    <row r="531" spans="1:16" x14ac:dyDescent="0.25">
      <c r="A531" s="9" t="s">
        <v>190</v>
      </c>
      <c r="B531" s="9" t="s">
        <v>60</v>
      </c>
      <c r="C531" s="9" t="s">
        <v>191</v>
      </c>
      <c r="D531" s="9" t="s">
        <v>110</v>
      </c>
      <c r="E531" s="9">
        <v>36</v>
      </c>
      <c r="F531" s="20">
        <v>43237</v>
      </c>
      <c r="G531" s="20">
        <v>43708</v>
      </c>
      <c r="H531" s="9" t="s">
        <v>103</v>
      </c>
      <c r="I531" s="21">
        <v>61200</v>
      </c>
      <c r="J531" s="9">
        <v>5</v>
      </c>
      <c r="K531" s="9">
        <v>3</v>
      </c>
      <c r="L531" s="9" t="s">
        <v>70</v>
      </c>
      <c r="M531" s="9" t="s">
        <v>81</v>
      </c>
      <c r="N531" s="9">
        <f>ROUND((IF(G531="",Analysis!$B$2,G531)-F531)/365.25,1)</f>
        <v>1.3</v>
      </c>
      <c r="O531" s="9">
        <f>IF(G531="","",YEAR(G531))</f>
        <v>2019</v>
      </c>
      <c r="P531" s="9" t="str">
        <f>IF(E531&lt;30,"&lt;30",IF(E531&lt;40,"30-39","40+"))</f>
        <v>30-39</v>
      </c>
    </row>
    <row r="532" spans="1:16" x14ac:dyDescent="0.25">
      <c r="A532" s="9" t="s">
        <v>349</v>
      </c>
      <c r="B532" s="9" t="s">
        <v>58</v>
      </c>
      <c r="C532" s="9" t="s">
        <v>121</v>
      </c>
      <c r="D532" s="9" t="s">
        <v>110</v>
      </c>
      <c r="E532" s="9">
        <v>41</v>
      </c>
      <c r="F532" s="20">
        <v>46114</v>
      </c>
      <c r="G532" s="20"/>
      <c r="H532" s="9" t="s">
        <v>51</v>
      </c>
      <c r="I532" s="21">
        <v>61600</v>
      </c>
      <c r="J532" s="9">
        <v>5</v>
      </c>
      <c r="K532" s="9">
        <v>3</v>
      </c>
      <c r="L532" s="9" t="s">
        <v>70</v>
      </c>
      <c r="M532" s="9"/>
      <c r="N532" s="9">
        <f>ROUND((IF(G532="",Analysis!$B$2,G532)-F532)/365.25,1)</f>
        <v>0.6</v>
      </c>
      <c r="O532" s="9" t="str">
        <f>IF(G532="","",YEAR(G532))</f>
        <v/>
      </c>
      <c r="P532" s="9" t="str">
        <f>IF(E532&lt;30,"&lt;30",IF(E532&lt;40,"30-39","40+"))</f>
        <v>40+</v>
      </c>
    </row>
    <row r="533" spans="1:16" x14ac:dyDescent="0.25">
      <c r="A533" s="9" t="s">
        <v>322</v>
      </c>
      <c r="B533" s="9" t="s">
        <v>62</v>
      </c>
      <c r="C533" s="9" t="s">
        <v>116</v>
      </c>
      <c r="D533" s="9" t="s">
        <v>102</v>
      </c>
      <c r="E533" s="9">
        <v>34</v>
      </c>
      <c r="F533" s="20">
        <v>46048</v>
      </c>
      <c r="G533" s="20"/>
      <c r="H533" s="9" t="s">
        <v>51</v>
      </c>
      <c r="I533" s="21">
        <v>62300</v>
      </c>
      <c r="J533" s="9">
        <v>5</v>
      </c>
      <c r="K533" s="9">
        <v>4</v>
      </c>
      <c r="L533" s="9" t="s">
        <v>71</v>
      </c>
      <c r="M533" s="9"/>
      <c r="N533" s="9">
        <f>ROUND((IF(G533="",Analysis!$B$2,G533)-F533)/365.25,1)</f>
        <v>0.8</v>
      </c>
      <c r="O533" s="9" t="str">
        <f>IF(G533="","",YEAR(G533))</f>
        <v/>
      </c>
      <c r="P533" s="9" t="str">
        <f>IF(E533&lt;30,"&lt;30",IF(E533&lt;40,"30-39","40+"))</f>
        <v>30-39</v>
      </c>
    </row>
    <row r="534" spans="1:16" x14ac:dyDescent="0.25">
      <c r="A534" s="9" t="s">
        <v>416</v>
      </c>
      <c r="B534" s="9" t="s">
        <v>57</v>
      </c>
      <c r="C534" s="9" t="s">
        <v>112</v>
      </c>
      <c r="D534" s="9" t="s">
        <v>102</v>
      </c>
      <c r="E534" s="9">
        <v>30</v>
      </c>
      <c r="F534" s="20">
        <v>46236</v>
      </c>
      <c r="G534" s="20"/>
      <c r="H534" s="9" t="s">
        <v>51</v>
      </c>
      <c r="I534" s="21">
        <v>63100</v>
      </c>
      <c r="J534" s="9">
        <v>5</v>
      </c>
      <c r="K534" s="9">
        <v>3</v>
      </c>
      <c r="L534" s="9" t="s">
        <v>71</v>
      </c>
      <c r="M534" s="9"/>
      <c r="N534" s="9">
        <f>ROUND((IF(G534="",Analysis!$B$2,G534)-F534)/365.25,1)</f>
        <v>0.2</v>
      </c>
      <c r="O534" s="9" t="str">
        <f>IF(G534="","",YEAR(G534))</f>
        <v/>
      </c>
      <c r="P534" s="9" t="str">
        <f>IF(E534&lt;30,"&lt;30",IF(E534&lt;40,"30-39","40+"))</f>
        <v>30-39</v>
      </c>
    </row>
    <row r="535" spans="1:16" x14ac:dyDescent="0.25">
      <c r="A535" s="9" t="s">
        <v>559</v>
      </c>
      <c r="B535" s="9" t="s">
        <v>62</v>
      </c>
      <c r="C535" s="9" t="s">
        <v>150</v>
      </c>
      <c r="D535" s="9" t="s">
        <v>102</v>
      </c>
      <c r="E535" s="9">
        <v>23</v>
      </c>
      <c r="F535" s="20">
        <v>46204</v>
      </c>
      <c r="G535" s="20">
        <v>46301</v>
      </c>
      <c r="H535" s="9" t="s">
        <v>103</v>
      </c>
      <c r="I535" s="21">
        <v>65500</v>
      </c>
      <c r="J535" s="9">
        <v>5</v>
      </c>
      <c r="K535" s="9">
        <v>2</v>
      </c>
      <c r="L535" s="9" t="s">
        <v>70</v>
      </c>
      <c r="M535" s="9" t="s">
        <v>80</v>
      </c>
      <c r="N535" s="9">
        <f>ROUND((IF(G535="",Analysis!$B$2,G535)-F535)/365.25,1)</f>
        <v>0.3</v>
      </c>
      <c r="O535" s="9">
        <f>IF(G535="","",YEAR(G535))</f>
        <v>2026</v>
      </c>
      <c r="P535" s="9" t="str">
        <f>IF(E535&lt;30,"&lt;30",IF(E535&lt;40,"30-39","40+"))</f>
        <v>&lt;30</v>
      </c>
    </row>
    <row r="536" spans="1:16" x14ac:dyDescent="0.25">
      <c r="A536" s="9" t="s">
        <v>175</v>
      </c>
      <c r="B536" s="9" t="s">
        <v>57</v>
      </c>
      <c r="C536" s="9" t="s">
        <v>139</v>
      </c>
      <c r="D536" s="9" t="s">
        <v>102</v>
      </c>
      <c r="E536" s="9">
        <v>27</v>
      </c>
      <c r="F536" s="20">
        <v>45027</v>
      </c>
      <c r="G536" s="20">
        <v>45623</v>
      </c>
      <c r="H536" s="9" t="s">
        <v>103</v>
      </c>
      <c r="I536" s="21">
        <v>66100</v>
      </c>
      <c r="J536" s="9">
        <v>5</v>
      </c>
      <c r="K536" s="9">
        <v>3</v>
      </c>
      <c r="L536" s="9" t="s">
        <v>70</v>
      </c>
      <c r="M536" s="9" t="s">
        <v>80</v>
      </c>
      <c r="N536" s="9">
        <f>ROUND((IF(G536="",Analysis!$B$2,G536)-F536)/365.25,1)</f>
        <v>1.6</v>
      </c>
      <c r="O536" s="9">
        <f>IF(G536="","",YEAR(G536))</f>
        <v>2024</v>
      </c>
      <c r="P536" s="9" t="str">
        <f>IF(E536&lt;30,"&lt;30",IF(E536&lt;40,"30-39","40+"))</f>
        <v>&lt;30</v>
      </c>
    </row>
    <row r="537" spans="1:16" x14ac:dyDescent="0.25">
      <c r="A537" s="9" t="s">
        <v>671</v>
      </c>
      <c r="B537" s="9" t="s">
        <v>60</v>
      </c>
      <c r="C537" s="9" t="s">
        <v>191</v>
      </c>
      <c r="D537" s="9" t="s">
        <v>110</v>
      </c>
      <c r="E537" s="9">
        <v>21</v>
      </c>
      <c r="F537" s="20">
        <v>45785</v>
      </c>
      <c r="G537" s="20">
        <v>46237</v>
      </c>
      <c r="H537" s="9" t="s">
        <v>103</v>
      </c>
      <c r="I537" s="21">
        <v>66500</v>
      </c>
      <c r="J537" s="9">
        <v>5</v>
      </c>
      <c r="K537" s="9">
        <v>3</v>
      </c>
      <c r="L537" s="9" t="s">
        <v>71</v>
      </c>
      <c r="M537" s="9" t="s">
        <v>83</v>
      </c>
      <c r="N537" s="9">
        <f>ROUND((IF(G537="",Analysis!$B$2,G537)-F537)/365.25,1)</f>
        <v>1.2</v>
      </c>
      <c r="O537" s="9">
        <f>IF(G537="","",YEAR(G537))</f>
        <v>2026</v>
      </c>
      <c r="P537" s="9" t="str">
        <f>IF(E537&lt;30,"&lt;30",IF(E537&lt;40,"30-39","40+"))</f>
        <v>&lt;30</v>
      </c>
    </row>
    <row r="538" spans="1:16" x14ac:dyDescent="0.25">
      <c r="A538" s="9" t="s">
        <v>659</v>
      </c>
      <c r="B538" s="9" t="s">
        <v>58</v>
      </c>
      <c r="C538" s="9" t="s">
        <v>121</v>
      </c>
      <c r="D538" s="9" t="s">
        <v>110</v>
      </c>
      <c r="E538" s="9">
        <v>31</v>
      </c>
      <c r="F538" s="20">
        <v>44399</v>
      </c>
      <c r="G538" s="20"/>
      <c r="H538" s="9" t="s">
        <v>51</v>
      </c>
      <c r="I538" s="21">
        <v>66500</v>
      </c>
      <c r="J538" s="9">
        <v>5</v>
      </c>
      <c r="K538" s="9">
        <v>4</v>
      </c>
      <c r="L538" s="9" t="s">
        <v>71</v>
      </c>
      <c r="M538" s="9"/>
      <c r="N538" s="9">
        <f>ROUND((IF(G538="",Analysis!$B$2,G538)-F538)/365.25,1)</f>
        <v>5.3</v>
      </c>
      <c r="O538" s="9" t="str">
        <f>IF(G538="","",YEAR(G538))</f>
        <v/>
      </c>
      <c r="P538" s="9" t="str">
        <f>IF(E538&lt;30,"&lt;30",IF(E538&lt;40,"30-39","40+"))</f>
        <v>30-39</v>
      </c>
    </row>
    <row r="539" spans="1:16" x14ac:dyDescent="0.25">
      <c r="A539" s="9" t="s">
        <v>312</v>
      </c>
      <c r="B539" s="9" t="s">
        <v>63</v>
      </c>
      <c r="C539" s="9" t="s">
        <v>105</v>
      </c>
      <c r="D539" s="9" t="s">
        <v>110</v>
      </c>
      <c r="E539" s="9">
        <v>21</v>
      </c>
      <c r="F539" s="20">
        <v>43499</v>
      </c>
      <c r="G539" s="20"/>
      <c r="H539" s="9" t="s">
        <v>51</v>
      </c>
      <c r="I539" s="21">
        <v>67900</v>
      </c>
      <c r="J539" s="9">
        <v>5</v>
      </c>
      <c r="K539" s="9">
        <v>4</v>
      </c>
      <c r="L539" s="9" t="s">
        <v>71</v>
      </c>
      <c r="M539" s="9"/>
      <c r="N539" s="9">
        <f>ROUND((IF(G539="",Analysis!$B$2,G539)-F539)/365.25,1)</f>
        <v>7.7</v>
      </c>
      <c r="O539" s="9" t="str">
        <f>IF(G539="","",YEAR(G539))</f>
        <v/>
      </c>
      <c r="P539" s="9" t="str">
        <f>IF(E539&lt;30,"&lt;30",IF(E539&lt;40,"30-39","40+"))</f>
        <v>&lt;30</v>
      </c>
    </row>
    <row r="540" spans="1:16" x14ac:dyDescent="0.25">
      <c r="A540" s="9" t="s">
        <v>428</v>
      </c>
      <c r="B540" s="9" t="s">
        <v>57</v>
      </c>
      <c r="C540" s="9" t="s">
        <v>112</v>
      </c>
      <c r="D540" s="9" t="s">
        <v>102</v>
      </c>
      <c r="E540" s="9">
        <v>42</v>
      </c>
      <c r="F540" s="20">
        <v>45419</v>
      </c>
      <c r="G540" s="20"/>
      <c r="H540" s="9" t="s">
        <v>51</v>
      </c>
      <c r="I540" s="21">
        <v>68100</v>
      </c>
      <c r="J540" s="9">
        <v>5</v>
      </c>
      <c r="K540" s="9">
        <v>4</v>
      </c>
      <c r="L540" s="9" t="s">
        <v>71</v>
      </c>
      <c r="M540" s="9"/>
      <c r="N540" s="9">
        <f>ROUND((IF(G540="",Analysis!$B$2,G540)-F540)/365.25,1)</f>
        <v>2.5</v>
      </c>
      <c r="O540" s="9" t="str">
        <f>IF(G540="","",YEAR(G540))</f>
        <v/>
      </c>
      <c r="P540" s="9" t="str">
        <f>IF(E540&lt;30,"&lt;30",IF(E540&lt;40,"30-39","40+"))</f>
        <v>40+</v>
      </c>
    </row>
    <row r="541" spans="1:16" x14ac:dyDescent="0.25">
      <c r="A541" s="9" t="s">
        <v>556</v>
      </c>
      <c r="B541" s="9" t="s">
        <v>62</v>
      </c>
      <c r="C541" s="9" t="s">
        <v>150</v>
      </c>
      <c r="D541" s="9" t="s">
        <v>102</v>
      </c>
      <c r="E541" s="9">
        <v>39</v>
      </c>
      <c r="F541" s="20">
        <v>45051</v>
      </c>
      <c r="G541" s="20"/>
      <c r="H541" s="9" t="s">
        <v>51</v>
      </c>
      <c r="I541" s="21">
        <v>68400</v>
      </c>
      <c r="J541" s="9">
        <v>5</v>
      </c>
      <c r="K541" s="9">
        <v>5</v>
      </c>
      <c r="L541" s="9" t="s">
        <v>71</v>
      </c>
      <c r="M541" s="9"/>
      <c r="N541" s="9">
        <f>ROUND((IF(G541="",Analysis!$B$2,G541)-F541)/365.25,1)</f>
        <v>3.5</v>
      </c>
      <c r="O541" s="9" t="str">
        <f>IF(G541="","",YEAR(G541))</f>
        <v/>
      </c>
      <c r="P541" s="9" t="str">
        <f>IF(E541&lt;30,"&lt;30",IF(E541&lt;40,"30-39","40+"))</f>
        <v>30-39</v>
      </c>
    </row>
    <row r="542" spans="1:16" x14ac:dyDescent="0.25">
      <c r="A542" s="9" t="s">
        <v>261</v>
      </c>
      <c r="B542" s="9" t="s">
        <v>57</v>
      </c>
      <c r="C542" s="9" t="s">
        <v>112</v>
      </c>
      <c r="D542" s="9" t="s">
        <v>102</v>
      </c>
      <c r="E542" s="9">
        <v>31</v>
      </c>
      <c r="F542" s="20">
        <v>43770</v>
      </c>
      <c r="G542" s="20"/>
      <c r="H542" s="9" t="s">
        <v>51</v>
      </c>
      <c r="I542" s="21">
        <v>69600</v>
      </c>
      <c r="J542" s="9">
        <v>5</v>
      </c>
      <c r="K542" s="9">
        <v>3</v>
      </c>
      <c r="L542" s="9" t="s">
        <v>71</v>
      </c>
      <c r="M542" s="9"/>
      <c r="N542" s="9">
        <f>ROUND((IF(G542="",Analysis!$B$2,G542)-F542)/365.25,1)</f>
        <v>7</v>
      </c>
      <c r="O542" s="9" t="str">
        <f>IF(G542="","",YEAR(G542))</f>
        <v/>
      </c>
      <c r="P542" s="9" t="str">
        <f>IF(E542&lt;30,"&lt;30",IF(E542&lt;40,"30-39","40+"))</f>
        <v>30-39</v>
      </c>
    </row>
    <row r="543" spans="1:16" x14ac:dyDescent="0.25">
      <c r="A543" s="9" t="s">
        <v>463</v>
      </c>
      <c r="B543" s="9" t="s">
        <v>57</v>
      </c>
      <c r="C543" s="9" t="s">
        <v>112</v>
      </c>
      <c r="D543" s="9" t="s">
        <v>102</v>
      </c>
      <c r="E543" s="9">
        <v>44</v>
      </c>
      <c r="F543" s="20">
        <v>45630</v>
      </c>
      <c r="G543" s="20"/>
      <c r="H543" s="9" t="s">
        <v>51</v>
      </c>
      <c r="I543" s="21">
        <v>72400</v>
      </c>
      <c r="J543" s="9">
        <v>5</v>
      </c>
      <c r="K543" s="9">
        <v>4</v>
      </c>
      <c r="L543" s="9" t="s">
        <v>70</v>
      </c>
      <c r="M543" s="9"/>
      <c r="N543" s="9">
        <f>ROUND((IF(G543="",Analysis!$B$2,G543)-F543)/365.25,1)</f>
        <v>1.9</v>
      </c>
      <c r="O543" s="9" t="str">
        <f>IF(G543="","",YEAR(G543))</f>
        <v/>
      </c>
      <c r="P543" s="9" t="str">
        <f>IF(E543&lt;30,"&lt;30",IF(E543&lt;40,"30-39","40+"))</f>
        <v>40+</v>
      </c>
    </row>
    <row r="544" spans="1:16" x14ac:dyDescent="0.25">
      <c r="A544" s="9" t="s">
        <v>407</v>
      </c>
      <c r="B544" s="9" t="s">
        <v>57</v>
      </c>
      <c r="C544" s="9" t="s">
        <v>112</v>
      </c>
      <c r="D544" s="9" t="s">
        <v>110</v>
      </c>
      <c r="E544" s="9">
        <v>27</v>
      </c>
      <c r="F544" s="20">
        <v>45760</v>
      </c>
      <c r="G544" s="20">
        <v>45970</v>
      </c>
      <c r="H544" s="9" t="s">
        <v>103</v>
      </c>
      <c r="I544" s="21">
        <v>72800</v>
      </c>
      <c r="J544" s="9">
        <v>5</v>
      </c>
      <c r="K544" s="9">
        <v>2</v>
      </c>
      <c r="L544" s="9" t="s">
        <v>71</v>
      </c>
      <c r="M544" s="9" t="s">
        <v>81</v>
      </c>
      <c r="N544" s="9">
        <f>ROUND((IF(G544="",Analysis!$B$2,G544)-F544)/365.25,1)</f>
        <v>0.6</v>
      </c>
      <c r="O544" s="9">
        <f>IF(G544="","",YEAR(G544))</f>
        <v>2025</v>
      </c>
      <c r="P544" s="9" t="str">
        <f>IF(E544&lt;30,"&lt;30",IF(E544&lt;40,"30-39","40+"))</f>
        <v>&lt;30</v>
      </c>
    </row>
    <row r="545" spans="1:16" x14ac:dyDescent="0.25">
      <c r="A545" s="9" t="s">
        <v>429</v>
      </c>
      <c r="B545" s="9" t="s">
        <v>63</v>
      </c>
      <c r="C545" s="9" t="s">
        <v>105</v>
      </c>
      <c r="D545" s="9" t="s">
        <v>102</v>
      </c>
      <c r="E545" s="9">
        <v>42</v>
      </c>
      <c r="F545" s="20">
        <v>46078</v>
      </c>
      <c r="G545" s="20">
        <v>46211</v>
      </c>
      <c r="H545" s="9" t="s">
        <v>103</v>
      </c>
      <c r="I545" s="21">
        <v>73200</v>
      </c>
      <c r="J545" s="9">
        <v>5</v>
      </c>
      <c r="K545" s="9">
        <v>3</v>
      </c>
      <c r="L545" s="9" t="s">
        <v>71</v>
      </c>
      <c r="M545" s="9" t="s">
        <v>81</v>
      </c>
      <c r="N545" s="9">
        <f>ROUND((IF(G545="",Analysis!$B$2,G545)-F545)/365.25,1)</f>
        <v>0.4</v>
      </c>
      <c r="O545" s="9">
        <f>IF(G545="","",YEAR(G545))</f>
        <v>2026</v>
      </c>
      <c r="P545" s="9" t="str">
        <f>IF(E545&lt;30,"&lt;30",IF(E545&lt;40,"30-39","40+"))</f>
        <v>40+</v>
      </c>
    </row>
    <row r="546" spans="1:16" x14ac:dyDescent="0.25">
      <c r="A546" s="9" t="s">
        <v>351</v>
      </c>
      <c r="B546" s="9" t="s">
        <v>57</v>
      </c>
      <c r="C546" s="9" t="s">
        <v>139</v>
      </c>
      <c r="D546" s="9" t="s">
        <v>110</v>
      </c>
      <c r="E546" s="9">
        <v>34</v>
      </c>
      <c r="F546" s="20">
        <v>44592</v>
      </c>
      <c r="G546" s="20"/>
      <c r="H546" s="9" t="s">
        <v>51</v>
      </c>
      <c r="I546" s="21">
        <v>73400</v>
      </c>
      <c r="J546" s="9">
        <v>5</v>
      </c>
      <c r="K546" s="9">
        <v>5</v>
      </c>
      <c r="L546" s="9" t="s">
        <v>71</v>
      </c>
      <c r="M546" s="9"/>
      <c r="N546" s="9">
        <f>ROUND((IF(G546="",Analysis!$B$2,G546)-F546)/365.25,1)</f>
        <v>4.7</v>
      </c>
      <c r="O546" s="9" t="str">
        <f>IF(G546="","",YEAR(G546))</f>
        <v/>
      </c>
      <c r="P546" s="9" t="str">
        <f>IF(E546&lt;30,"&lt;30",IF(E546&lt;40,"30-39","40+"))</f>
        <v>30-39</v>
      </c>
    </row>
    <row r="547" spans="1:16" x14ac:dyDescent="0.25">
      <c r="A547" s="9" t="s">
        <v>447</v>
      </c>
      <c r="B547" s="9" t="s">
        <v>63</v>
      </c>
      <c r="C547" s="9" t="s">
        <v>105</v>
      </c>
      <c r="D547" s="9" t="s">
        <v>110</v>
      </c>
      <c r="E547" s="9">
        <v>28</v>
      </c>
      <c r="F547" s="20">
        <v>45441</v>
      </c>
      <c r="G547" s="20"/>
      <c r="H547" s="9" t="s">
        <v>51</v>
      </c>
      <c r="I547" s="21">
        <v>77500</v>
      </c>
      <c r="J547" s="9">
        <v>5</v>
      </c>
      <c r="K547" s="9">
        <v>4</v>
      </c>
      <c r="L547" s="9" t="s">
        <v>71</v>
      </c>
      <c r="M547" s="9"/>
      <c r="N547" s="9">
        <f>ROUND((IF(G547="",Analysis!$B$2,G547)-F547)/365.25,1)</f>
        <v>2.4</v>
      </c>
      <c r="O547" s="9" t="str">
        <f>IF(G547="","",YEAR(G547))</f>
        <v/>
      </c>
      <c r="P547" s="9" t="str">
        <f>IF(E547&lt;30,"&lt;30",IF(E547&lt;40,"30-39","40+"))</f>
        <v>&lt;30</v>
      </c>
    </row>
    <row r="548" spans="1:16" x14ac:dyDescent="0.25">
      <c r="A548" s="9" t="s">
        <v>436</v>
      </c>
      <c r="B548" s="9" t="s">
        <v>57</v>
      </c>
      <c r="C548" s="9" t="s">
        <v>139</v>
      </c>
      <c r="D548" s="9" t="s">
        <v>102</v>
      </c>
      <c r="E548" s="9">
        <v>30</v>
      </c>
      <c r="F548" s="20">
        <v>45573</v>
      </c>
      <c r="G548" s="20">
        <v>45938</v>
      </c>
      <c r="H548" s="9" t="s">
        <v>103</v>
      </c>
      <c r="I548" s="21">
        <v>80700</v>
      </c>
      <c r="J548" s="9">
        <v>5</v>
      </c>
      <c r="K548" s="9">
        <v>2</v>
      </c>
      <c r="L548" s="9" t="s">
        <v>70</v>
      </c>
      <c r="M548" s="9" t="s">
        <v>81</v>
      </c>
      <c r="N548" s="9">
        <f>ROUND((IF(G548="",Analysis!$B$2,G548)-F548)/365.25,1)</f>
        <v>1</v>
      </c>
      <c r="O548" s="9">
        <f>IF(G548="","",YEAR(G548))</f>
        <v>2025</v>
      </c>
      <c r="P548" s="9" t="str">
        <f>IF(E548&lt;30,"&lt;30",IF(E548&lt;40,"30-39","40+"))</f>
        <v>30-39</v>
      </c>
    </row>
    <row r="549" spans="1:16" x14ac:dyDescent="0.25">
      <c r="A549" s="9" t="s">
        <v>300</v>
      </c>
      <c r="B549" s="9" t="s">
        <v>63</v>
      </c>
      <c r="C549" s="9" t="s">
        <v>181</v>
      </c>
      <c r="D549" s="9" t="s">
        <v>110</v>
      </c>
      <c r="E549" s="9">
        <v>24</v>
      </c>
      <c r="F549" s="20">
        <v>44881</v>
      </c>
      <c r="G549" s="20"/>
      <c r="H549" s="9" t="s">
        <v>51</v>
      </c>
      <c r="I549" s="21">
        <v>87600</v>
      </c>
      <c r="J549" s="9">
        <v>5</v>
      </c>
      <c r="K549" s="9">
        <v>5</v>
      </c>
      <c r="L549" s="9" t="s">
        <v>71</v>
      </c>
      <c r="M549" s="9"/>
      <c r="N549" s="9">
        <f>ROUND((IF(G549="",Analysis!$B$2,G549)-F549)/365.25,1)</f>
        <v>3.9</v>
      </c>
      <c r="O549" s="9" t="str">
        <f>IF(G549="","",YEAR(G549))</f>
        <v/>
      </c>
      <c r="P549" s="9" t="str">
        <f>IF(E549&lt;30,"&lt;30",IF(E549&lt;40,"30-39","40+"))</f>
        <v>&lt;30</v>
      </c>
    </row>
    <row r="550" spans="1:16" x14ac:dyDescent="0.25">
      <c r="A550" s="9" t="s">
        <v>503</v>
      </c>
      <c r="B550" s="9" t="s">
        <v>57</v>
      </c>
      <c r="C550" s="9" t="s">
        <v>139</v>
      </c>
      <c r="D550" s="9" t="s">
        <v>110</v>
      </c>
      <c r="E550" s="9">
        <v>28</v>
      </c>
      <c r="F550" s="20">
        <v>44393</v>
      </c>
      <c r="G550" s="20">
        <v>45825</v>
      </c>
      <c r="H550" s="9" t="s">
        <v>103</v>
      </c>
      <c r="I550" s="21">
        <v>88500</v>
      </c>
      <c r="J550" s="9">
        <v>5</v>
      </c>
      <c r="K550" s="9">
        <v>1</v>
      </c>
      <c r="L550" s="9" t="s">
        <v>71</v>
      </c>
      <c r="M550" s="9" t="s">
        <v>80</v>
      </c>
      <c r="N550" s="9">
        <f>ROUND((IF(G550="",Analysis!$B$2,G550)-F550)/365.25,1)</f>
        <v>3.9</v>
      </c>
      <c r="O550" s="9">
        <f>IF(G550="","",YEAR(G550))</f>
        <v>2025</v>
      </c>
      <c r="P550" s="9" t="str">
        <f>IF(E550&lt;30,"&lt;30",IF(E550&lt;40,"30-39","40+"))</f>
        <v>&lt;30</v>
      </c>
    </row>
    <row r="551" spans="1:16" x14ac:dyDescent="0.25">
      <c r="A551" s="9" t="s">
        <v>180</v>
      </c>
      <c r="B551" s="9" t="s">
        <v>63</v>
      </c>
      <c r="C551" s="9" t="s">
        <v>181</v>
      </c>
      <c r="D551" s="9" t="s">
        <v>102</v>
      </c>
      <c r="E551" s="9">
        <v>37</v>
      </c>
      <c r="F551" s="20">
        <v>43712</v>
      </c>
      <c r="G551" s="20">
        <v>45236</v>
      </c>
      <c r="H551" s="9" t="s">
        <v>103</v>
      </c>
      <c r="I551" s="21">
        <v>91000</v>
      </c>
      <c r="J551" s="9">
        <v>5</v>
      </c>
      <c r="K551" s="9">
        <v>2</v>
      </c>
      <c r="L551" s="9" t="s">
        <v>70</v>
      </c>
      <c r="M551" s="9" t="s">
        <v>81</v>
      </c>
      <c r="N551" s="9">
        <f>ROUND((IF(G551="",Analysis!$B$2,G551)-F551)/365.25,1)</f>
        <v>4.2</v>
      </c>
      <c r="O551" s="9">
        <f>IF(G551="","",YEAR(G551))</f>
        <v>2023</v>
      </c>
      <c r="P551" s="9" t="str">
        <f>IF(E551&lt;30,"&lt;30",IF(E551&lt;40,"30-39","40+"))</f>
        <v>30-39</v>
      </c>
    </row>
    <row r="552" spans="1:16" x14ac:dyDescent="0.25">
      <c r="A552" s="9" t="s">
        <v>457</v>
      </c>
      <c r="B552" s="9" t="s">
        <v>59</v>
      </c>
      <c r="C552" s="9" t="s">
        <v>107</v>
      </c>
      <c r="D552" s="9" t="s">
        <v>110</v>
      </c>
      <c r="E552" s="9">
        <v>26</v>
      </c>
      <c r="F552" s="20">
        <v>45524</v>
      </c>
      <c r="G552" s="20">
        <v>46118</v>
      </c>
      <c r="H552" s="9" t="s">
        <v>103</v>
      </c>
      <c r="I552" s="21">
        <v>98900</v>
      </c>
      <c r="J552" s="9">
        <v>5</v>
      </c>
      <c r="K552" s="9">
        <v>4</v>
      </c>
      <c r="L552" s="9" t="s">
        <v>70</v>
      </c>
      <c r="M552" s="9" t="s">
        <v>83</v>
      </c>
      <c r="N552" s="9">
        <f>ROUND((IF(G552="",Analysis!$B$2,G552)-F552)/365.25,1)</f>
        <v>1.6</v>
      </c>
      <c r="O552" s="9">
        <f>IF(G552="","",YEAR(G552))</f>
        <v>2026</v>
      </c>
      <c r="P552" s="9" t="str">
        <f>IF(E552&lt;30,"&lt;30",IF(E552&lt;40,"30-39","40+"))</f>
        <v>&lt;30</v>
      </c>
    </row>
    <row r="553" spans="1:16" x14ac:dyDescent="0.25">
      <c r="A553" s="9" t="s">
        <v>202</v>
      </c>
      <c r="B553" s="9" t="s">
        <v>63</v>
      </c>
      <c r="C553" s="9" t="s">
        <v>181</v>
      </c>
      <c r="D553" s="9" t="s">
        <v>110</v>
      </c>
      <c r="E553" s="9">
        <v>27</v>
      </c>
      <c r="F553" s="20">
        <v>46121</v>
      </c>
      <c r="G553" s="20"/>
      <c r="H553" s="9" t="s">
        <v>51</v>
      </c>
      <c r="I553" s="21">
        <v>100100</v>
      </c>
      <c r="J553" s="9">
        <v>5</v>
      </c>
      <c r="K553" s="9">
        <v>4</v>
      </c>
      <c r="L553" s="9" t="s">
        <v>71</v>
      </c>
      <c r="M553" s="9"/>
      <c r="N553" s="9">
        <f>ROUND((IF(G553="",Analysis!$B$2,G553)-F553)/365.25,1)</f>
        <v>0.6</v>
      </c>
      <c r="O553" s="9" t="str">
        <f>IF(G553="","",YEAR(G553))</f>
        <v/>
      </c>
      <c r="P553" s="9" t="str">
        <f>IF(E553&lt;30,"&lt;30",IF(E553&lt;40,"30-39","40+"))</f>
        <v>&lt;30</v>
      </c>
    </row>
    <row r="554" spans="1:16" x14ac:dyDescent="0.25">
      <c r="A554" s="9" t="s">
        <v>648</v>
      </c>
      <c r="B554" s="9" t="s">
        <v>59</v>
      </c>
      <c r="C554" s="9" t="s">
        <v>134</v>
      </c>
      <c r="D554" s="9" t="s">
        <v>102</v>
      </c>
      <c r="E554" s="9">
        <v>30</v>
      </c>
      <c r="F554" s="20">
        <v>45325</v>
      </c>
      <c r="G554" s="20">
        <v>45562</v>
      </c>
      <c r="H554" s="9" t="s">
        <v>103</v>
      </c>
      <c r="I554" s="21">
        <v>101800</v>
      </c>
      <c r="J554" s="9">
        <v>5</v>
      </c>
      <c r="K554" s="9">
        <v>1</v>
      </c>
      <c r="L554" s="9" t="s">
        <v>71</v>
      </c>
      <c r="M554" s="9" t="s">
        <v>81</v>
      </c>
      <c r="N554" s="9">
        <f>ROUND((IF(G554="",Analysis!$B$2,G554)-F554)/365.25,1)</f>
        <v>0.6</v>
      </c>
      <c r="O554" s="9">
        <f>IF(G554="","",YEAR(G554))</f>
        <v>2024</v>
      </c>
      <c r="P554" s="9" t="str">
        <f>IF(E554&lt;30,"&lt;30",IF(E554&lt;40,"30-39","40+"))</f>
        <v>30-39</v>
      </c>
    </row>
    <row r="555" spans="1:16" x14ac:dyDescent="0.25">
      <c r="A555" s="9" t="s">
        <v>222</v>
      </c>
      <c r="B555" s="9" t="s">
        <v>59</v>
      </c>
      <c r="C555" s="9" t="s">
        <v>134</v>
      </c>
      <c r="D555" s="9" t="s">
        <v>110</v>
      </c>
      <c r="E555" s="9">
        <v>45</v>
      </c>
      <c r="F555" s="20">
        <v>43103</v>
      </c>
      <c r="G555" s="20"/>
      <c r="H555" s="9" t="s">
        <v>51</v>
      </c>
      <c r="I555" s="21">
        <v>107800</v>
      </c>
      <c r="J555" s="9">
        <v>5</v>
      </c>
      <c r="K555" s="9">
        <v>3</v>
      </c>
      <c r="L555" s="9" t="s">
        <v>71</v>
      </c>
      <c r="M555" s="9"/>
      <c r="N555" s="9">
        <f>ROUND((IF(G555="",Analysis!$B$2,G555)-F555)/365.25,1)</f>
        <v>8.8000000000000007</v>
      </c>
      <c r="O555" s="9" t="str">
        <f>IF(G555="","",YEAR(G555))</f>
        <v/>
      </c>
      <c r="P555" s="9" t="str">
        <f>IF(E555&lt;30,"&lt;30",IF(E555&lt;40,"30-39","40+"))</f>
        <v>40+</v>
      </c>
    </row>
    <row r="556" spans="1:16" x14ac:dyDescent="0.25">
      <c r="A556" s="9" t="s">
        <v>306</v>
      </c>
      <c r="B556" s="9" t="s">
        <v>59</v>
      </c>
      <c r="C556" s="9" t="s">
        <v>107</v>
      </c>
      <c r="D556" s="9" t="s">
        <v>110</v>
      </c>
      <c r="E556" s="9">
        <v>36</v>
      </c>
      <c r="F556" s="20">
        <v>44102</v>
      </c>
      <c r="G556" s="20"/>
      <c r="H556" s="9" t="s">
        <v>51</v>
      </c>
      <c r="I556" s="21">
        <v>111100</v>
      </c>
      <c r="J556" s="9">
        <v>5</v>
      </c>
      <c r="K556" s="9">
        <v>3</v>
      </c>
      <c r="L556" s="9" t="s">
        <v>70</v>
      </c>
      <c r="M556" s="9"/>
      <c r="N556" s="9">
        <f>ROUND((IF(G556="",Analysis!$B$2,G556)-F556)/365.25,1)</f>
        <v>6.1</v>
      </c>
      <c r="O556" s="9" t="str">
        <f>IF(G556="","",YEAR(G556))</f>
        <v/>
      </c>
      <c r="P556" s="9" t="str">
        <f>IF(E556&lt;30,"&lt;30",IF(E556&lt;40,"30-39","40+"))</f>
        <v>30-39</v>
      </c>
    </row>
    <row r="557" spans="1:16" x14ac:dyDescent="0.25">
      <c r="A557" s="9" t="s">
        <v>520</v>
      </c>
      <c r="B557" s="9" t="s">
        <v>61</v>
      </c>
      <c r="C557" s="9" t="s">
        <v>114</v>
      </c>
      <c r="D557" s="9" t="s">
        <v>110</v>
      </c>
      <c r="E557" s="9">
        <v>38</v>
      </c>
      <c r="F557" s="20">
        <v>43570</v>
      </c>
      <c r="G557" s="20"/>
      <c r="H557" s="9" t="s">
        <v>51</v>
      </c>
      <c r="I557" s="21">
        <v>115500</v>
      </c>
      <c r="J557" s="9">
        <v>5</v>
      </c>
      <c r="K557" s="9">
        <v>3</v>
      </c>
      <c r="L557" s="9" t="s">
        <v>71</v>
      </c>
      <c r="M557" s="9"/>
      <c r="N557" s="9">
        <f>ROUND((IF(G557="",Analysis!$B$2,G557)-F557)/365.25,1)</f>
        <v>7.5</v>
      </c>
      <c r="O557" s="9" t="str">
        <f>IF(G557="","",YEAR(G557))</f>
        <v/>
      </c>
      <c r="P557" s="9" t="str">
        <f>IF(E557&lt;30,"&lt;30",IF(E557&lt;40,"30-39","40+"))</f>
        <v>30-39</v>
      </c>
    </row>
    <row r="558" spans="1:16" x14ac:dyDescent="0.25">
      <c r="A558" s="9" t="s">
        <v>219</v>
      </c>
      <c r="B558" s="9" t="s">
        <v>59</v>
      </c>
      <c r="C558" s="9" t="s">
        <v>134</v>
      </c>
      <c r="D558" s="9" t="s">
        <v>110</v>
      </c>
      <c r="E558" s="9">
        <v>36</v>
      </c>
      <c r="F558" s="20">
        <v>43360</v>
      </c>
      <c r="G558" s="20"/>
      <c r="H558" s="9" t="s">
        <v>51</v>
      </c>
      <c r="I558" s="21">
        <v>135700</v>
      </c>
      <c r="J558" s="9">
        <v>5</v>
      </c>
      <c r="K558" s="9">
        <v>3</v>
      </c>
      <c r="L558" s="9" t="s">
        <v>71</v>
      </c>
      <c r="M558" s="9"/>
      <c r="N558" s="9">
        <f>ROUND((IF(G558="",Analysis!$B$2,G558)-F558)/365.25,1)</f>
        <v>8.1</v>
      </c>
      <c r="O558" s="9" t="str">
        <f>IF(G558="","",YEAR(G558))</f>
        <v/>
      </c>
      <c r="P558" s="9" t="str">
        <f>IF(E558&lt;30,"&lt;30",IF(E558&lt;40,"30-39","40+"))</f>
        <v>30-39</v>
      </c>
    </row>
    <row r="559" spans="1:16" x14ac:dyDescent="0.25">
      <c r="A559" s="9" t="s">
        <v>297</v>
      </c>
      <c r="B559" s="9" t="s">
        <v>59</v>
      </c>
      <c r="C559" s="9" t="s">
        <v>163</v>
      </c>
      <c r="D559" s="9" t="s">
        <v>102</v>
      </c>
      <c r="E559" s="9">
        <v>26</v>
      </c>
      <c r="F559" s="20">
        <v>44437</v>
      </c>
      <c r="G559" s="20"/>
      <c r="H559" s="9" t="s">
        <v>51</v>
      </c>
      <c r="I559" s="21">
        <v>143700</v>
      </c>
      <c r="J559" s="9">
        <v>5</v>
      </c>
      <c r="K559" s="9">
        <v>3</v>
      </c>
      <c r="L559" s="9" t="s">
        <v>70</v>
      </c>
      <c r="M559" s="9"/>
      <c r="N559" s="9">
        <f>ROUND((IF(G559="",Analysis!$B$2,G559)-F559)/365.25,1)</f>
        <v>5.2</v>
      </c>
      <c r="O559" s="9" t="str">
        <f>IF(G559="","",YEAR(G559))</f>
        <v/>
      </c>
      <c r="P559" s="9" t="str">
        <f>IF(E559&lt;30,"&lt;30",IF(E559&lt;40,"30-39","40+"))</f>
        <v>&lt;30</v>
      </c>
    </row>
    <row r="560" spans="1:16" x14ac:dyDescent="0.25">
      <c r="A560" s="9" t="s">
        <v>167</v>
      </c>
      <c r="B560" s="9" t="s">
        <v>59</v>
      </c>
      <c r="C560" s="9" t="s">
        <v>163</v>
      </c>
      <c r="D560" s="9" t="s">
        <v>110</v>
      </c>
      <c r="E560" s="9">
        <v>29</v>
      </c>
      <c r="F560" s="20">
        <v>45747</v>
      </c>
      <c r="G560" s="20">
        <v>46292</v>
      </c>
      <c r="H560" s="9" t="s">
        <v>103</v>
      </c>
      <c r="I560" s="21">
        <v>154000</v>
      </c>
      <c r="J560" s="9">
        <v>5</v>
      </c>
      <c r="K560" s="9">
        <v>5</v>
      </c>
      <c r="L560" s="9" t="s">
        <v>70</v>
      </c>
      <c r="M560" s="9" t="s">
        <v>79</v>
      </c>
      <c r="N560" s="9">
        <f>ROUND((IF(G560="",Analysis!$B$2,G560)-F560)/365.25,1)</f>
        <v>1.5</v>
      </c>
      <c r="O560" s="9">
        <f>IF(G560="","",YEAR(G560))</f>
        <v>2026</v>
      </c>
      <c r="P560" s="9" t="str">
        <f>IF(E560&lt;30,"&lt;30",IF(E560&lt;40,"30-39","40+"))</f>
        <v>&lt;30</v>
      </c>
    </row>
    <row r="561" spans="1:16" x14ac:dyDescent="0.25">
      <c r="A561" s="9" t="s">
        <v>385</v>
      </c>
      <c r="B561" s="9" t="s">
        <v>59</v>
      </c>
      <c r="C561" s="9" t="s">
        <v>163</v>
      </c>
      <c r="D561" s="9" t="s">
        <v>110</v>
      </c>
      <c r="E561" s="9">
        <v>28</v>
      </c>
      <c r="F561" s="20">
        <v>44948</v>
      </c>
      <c r="G561" s="20"/>
      <c r="H561" s="9" t="s">
        <v>51</v>
      </c>
      <c r="I561" s="21">
        <v>170400</v>
      </c>
      <c r="J561" s="9">
        <v>5</v>
      </c>
      <c r="K561" s="9">
        <v>5</v>
      </c>
      <c r="L561" s="9" t="s">
        <v>71</v>
      </c>
      <c r="M561" s="9"/>
      <c r="N561" s="9">
        <f>ROUND((IF(G561="",Analysis!$B$2,G561)-F561)/365.25,1)</f>
        <v>3.8</v>
      </c>
      <c r="O561" s="9" t="str">
        <f>IF(G561="","",YEAR(G561))</f>
        <v/>
      </c>
      <c r="P561" s="9" t="str">
        <f>IF(E561&lt;30,"&lt;30",IF(E561&lt;40,"30-39","40+"))</f>
        <v>&lt;30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Guide</vt:lpstr>
      <vt:lpstr>Analysis</vt:lpstr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</cp:lastModifiedBy>
  <cp:revision>1</cp:revision>
  <dcterms:created xsi:type="dcterms:W3CDTF">2026-10-27T05:09:23Z</dcterms:created>
  <dcterms:modified xsi:type="dcterms:W3CDTF">2026-10-28T11:27:25Z</dcterms:modified>
  <dc:language>en-US</dc:language>
</cp:coreProperties>
</file>